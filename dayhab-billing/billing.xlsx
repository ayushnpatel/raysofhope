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im\Desktop\Rays Of Hope\Billing Documents\"/>
    </mc:Choice>
  </mc:AlternateContent>
  <xr:revisionPtr revIDLastSave="0" documentId="13_ncr:1_{EFD62912-B6EC-46E5-ADAA-8A49FD5B84C9}" xr6:coauthVersionLast="47" xr6:coauthVersionMax="47" xr10:uidLastSave="{00000000-0000-0000-0000-000000000000}"/>
  <bookViews>
    <workbookView xWindow="-108" yWindow="-108" windowWidth="23256" windowHeight="12456" activeTab="3" xr2:uid="{74932323-C2D3-4BF5-B268-641406E0AAF1}"/>
  </bookViews>
  <sheets>
    <sheet name="Day Habilitation" sheetId="2" r:id="rId1"/>
    <sheet name="CLIENT ADDRESS" sheetId="7" r:id="rId2"/>
    <sheet name="COMMUNITY-BAS" sheetId="4" r:id="rId3"/>
    <sheet name="COMPREHENSIVE" sheetId="5" r:id="rId4"/>
    <sheet name="RESPITE CARE" sheetId="6" r:id="rId5"/>
    <sheet name="Weekly Billin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2" l="1"/>
  <c r="L14" i="2"/>
  <c r="L7" i="5"/>
  <c r="L28" i="2"/>
  <c r="L27" i="2"/>
  <c r="L26" i="2"/>
  <c r="L25" i="2"/>
  <c r="L13" i="4"/>
  <c r="L12" i="4"/>
  <c r="L11" i="4"/>
  <c r="L10" i="4"/>
  <c r="L9" i="4"/>
  <c r="L8" i="4"/>
  <c r="L7" i="4"/>
  <c r="L9" i="5"/>
  <c r="L7" i="6"/>
  <c r="L8" i="5"/>
  <c r="L24" i="2"/>
  <c r="L23" i="2"/>
  <c r="L22" i="2"/>
  <c r="L21" i="2"/>
  <c r="L20" i="2"/>
  <c r="L19" i="2"/>
  <c r="L16" i="2"/>
  <c r="L13" i="2"/>
  <c r="L18" i="2"/>
  <c r="L15" i="2"/>
  <c r="L11" i="2"/>
  <c r="L12" i="2"/>
  <c r="L17" i="2"/>
  <c r="L10" i="2"/>
  <c r="L9" i="2"/>
  <c r="L7" i="2"/>
  <c r="H26" i="3"/>
  <c r="K26" i="3"/>
  <c r="J26" i="3"/>
  <c r="I26" i="3"/>
  <c r="AE17" i="2"/>
  <c r="AE16" i="2"/>
  <c r="AE15" i="2"/>
  <c r="AE12" i="2"/>
  <c r="AE11" i="2"/>
  <c r="AE10" i="2"/>
  <c r="AE9" i="2"/>
  <c r="AE7" i="2"/>
  <c r="AE13" i="2"/>
  <c r="L35" i="2" l="1"/>
  <c r="M26" i="3"/>
  <c r="L26" i="3"/>
  <c r="N26" i="3"/>
</calcChain>
</file>

<file path=xl/sharedStrings.xml><?xml version="1.0" encoding="utf-8"?>
<sst xmlns="http://schemas.openxmlformats.org/spreadsheetml/2006/main" count="404" uniqueCount="200">
  <si>
    <t>PATIENT'S LAST NAME</t>
  </si>
  <si>
    <t>PATIENT'S BIRTH DATE</t>
  </si>
  <si>
    <t>APPROVAL START DATE</t>
  </si>
  <si>
    <t>APPROVAL END DATE</t>
  </si>
  <si>
    <t>DIAGNOSIS CODE</t>
  </si>
  <si>
    <t>#</t>
  </si>
  <si>
    <t>PATIENT'S FIRSTT NAME</t>
  </si>
  <si>
    <t>Andrew</t>
  </si>
  <si>
    <t>Chambers</t>
  </si>
  <si>
    <t xml:space="preserve">Daniel </t>
  </si>
  <si>
    <t xml:space="preserve">Pons </t>
  </si>
  <si>
    <t>PROCEDURE</t>
  </si>
  <si>
    <t>Tier C</t>
  </si>
  <si>
    <t>Ester</t>
  </si>
  <si>
    <t xml:space="preserve">Chen </t>
  </si>
  <si>
    <t>F840</t>
  </si>
  <si>
    <t>042083772701</t>
  </si>
  <si>
    <t>Tier E/Acuity Differentiated</t>
  </si>
  <si>
    <t>Francis</t>
  </si>
  <si>
    <t>Matera</t>
  </si>
  <si>
    <t>122083070901</t>
  </si>
  <si>
    <t>Jonathan</t>
  </si>
  <si>
    <t>Peppe</t>
  </si>
  <si>
    <t>182090083401</t>
  </si>
  <si>
    <t>Tier D/Acuity Differentiated</t>
  </si>
  <si>
    <t>Karly</t>
  </si>
  <si>
    <t>Venus</t>
  </si>
  <si>
    <t>182000726901</t>
  </si>
  <si>
    <t>G809</t>
  </si>
  <si>
    <t>Mateo</t>
  </si>
  <si>
    <t>182081001601</t>
  </si>
  <si>
    <t>Matthew</t>
  </si>
  <si>
    <t>Pooja</t>
  </si>
  <si>
    <t>Singhal</t>
  </si>
  <si>
    <t>142090194401</t>
  </si>
  <si>
    <t>Quinton</t>
  </si>
  <si>
    <t>Socarras</t>
  </si>
  <si>
    <t>182080845401</t>
  </si>
  <si>
    <t>Tier D</t>
  </si>
  <si>
    <t>Rose</t>
  </si>
  <si>
    <t>Varghese</t>
  </si>
  <si>
    <t>182046022401</t>
  </si>
  <si>
    <t>William</t>
  </si>
  <si>
    <t>Bradshaw</t>
  </si>
  <si>
    <t>112082706401</t>
  </si>
  <si>
    <t>UNITS</t>
  </si>
  <si>
    <t>9/16/24-9/20/24</t>
  </si>
  <si>
    <t>9/23/24-9/27/24</t>
  </si>
  <si>
    <t>9/30/24-10/4/24</t>
  </si>
  <si>
    <t>10/7/24-10/11/24</t>
  </si>
  <si>
    <t>10/14/24-10/18/24</t>
  </si>
  <si>
    <t>10/21/24-10/25/24</t>
  </si>
  <si>
    <t>10/28/24-11/1/24</t>
  </si>
  <si>
    <t>11/4/24-11/8/24</t>
  </si>
  <si>
    <t>11/11/24-11/15/24</t>
  </si>
  <si>
    <t>11/18/24-11/22/24</t>
  </si>
  <si>
    <t>11/25/24-11/29/24</t>
  </si>
  <si>
    <t>12/2/24-12/6/24</t>
  </si>
  <si>
    <t>12/9/24-12/13/24</t>
  </si>
  <si>
    <t>12/16/24-12/20/24</t>
  </si>
  <si>
    <t>12/23/24-12/27/24</t>
  </si>
  <si>
    <t>RATE</t>
  </si>
  <si>
    <t>UNIT LEFT</t>
  </si>
  <si>
    <t>F849   F79</t>
  </si>
  <si>
    <t>INSURED'S I.D. #</t>
  </si>
  <si>
    <t>PRIOR AUTH #</t>
  </si>
  <si>
    <t>F840   F99</t>
  </si>
  <si>
    <t>PROCEDURES,SERVICES</t>
  </si>
  <si>
    <t>T2021 HI UQ</t>
  </si>
  <si>
    <t>T2021 HI U4</t>
  </si>
  <si>
    <t>T2021 HI U5</t>
  </si>
  <si>
    <t>G800</t>
  </si>
  <si>
    <t>1552878965</t>
  </si>
  <si>
    <t>T2021 HI UP</t>
  </si>
  <si>
    <t>F840   G40909</t>
  </si>
  <si>
    <t>1552877968</t>
  </si>
  <si>
    <t xml:space="preserve">Perilla Torres </t>
  </si>
  <si>
    <t>F71   F840</t>
  </si>
  <si>
    <t>1552922844</t>
  </si>
  <si>
    <t>F840   F70</t>
  </si>
  <si>
    <t>F840   F79</t>
  </si>
  <si>
    <t>1552878458</t>
  </si>
  <si>
    <t>Weekly Billing for DayHab</t>
  </si>
  <si>
    <t>END OF Year</t>
  </si>
  <si>
    <t>Tier</t>
  </si>
  <si>
    <t>F840  G9340  F79</t>
  </si>
  <si>
    <t>03/28/2003</t>
  </si>
  <si>
    <t>06/04/1994</t>
  </si>
  <si>
    <t>01/17/1998</t>
  </si>
  <si>
    <t>08/24/1994</t>
  </si>
  <si>
    <t>08/25/2000</t>
  </si>
  <si>
    <t>09/07/1996</t>
  </si>
  <si>
    <t>05/11/1998</t>
  </si>
  <si>
    <t>09/10/1996</t>
  </si>
  <si>
    <t xml:space="preserve"> Chambers</t>
  </si>
  <si>
    <t xml:space="preserve">Andrew </t>
  </si>
  <si>
    <t>out all week</t>
  </si>
  <si>
    <t>03/07/2003</t>
  </si>
  <si>
    <t>Still Missing 24 Units</t>
  </si>
  <si>
    <t>Paid Conpletely</t>
  </si>
  <si>
    <t>1552926218</t>
  </si>
  <si>
    <t>Borell</t>
  </si>
  <si>
    <t>07/19/2002</t>
  </si>
  <si>
    <t>Lee</t>
  </si>
  <si>
    <t>Paul</t>
  </si>
  <si>
    <t>03/27/2003</t>
  </si>
  <si>
    <t>$$$</t>
  </si>
  <si>
    <t>F840 G40309 F79 F99</t>
  </si>
  <si>
    <t>Alyssa</t>
  </si>
  <si>
    <t>09/21/1988</t>
  </si>
  <si>
    <t>F79, G40909, Q87.19, F84, F72</t>
  </si>
  <si>
    <t>Ferraro</t>
  </si>
  <si>
    <t>1552973450</t>
  </si>
  <si>
    <t>Noah</t>
  </si>
  <si>
    <t>Rommel</t>
  </si>
  <si>
    <t>10/30/1996</t>
  </si>
  <si>
    <t>1553017446</t>
  </si>
  <si>
    <t>Wu</t>
  </si>
  <si>
    <t>Horace</t>
  </si>
  <si>
    <t>F840 F79</t>
  </si>
  <si>
    <t xml:space="preserve"> Jamaal Shelly </t>
  </si>
  <si>
    <t xml:space="preserve"> Yasir</t>
  </si>
  <si>
    <t>072083973401</t>
  </si>
  <si>
    <t>F840  G40409 F99</t>
  </si>
  <si>
    <t>Chen</t>
  </si>
  <si>
    <t>Chugh</t>
  </si>
  <si>
    <t>PATIENT'S FIRST NAME</t>
  </si>
  <si>
    <t>Briscoe</t>
  </si>
  <si>
    <t>Dicker</t>
  </si>
  <si>
    <t>Moss</t>
  </si>
  <si>
    <t>Reardon</t>
  </si>
  <si>
    <t>Singh</t>
  </si>
  <si>
    <t xml:space="preserve">T2021 HI </t>
  </si>
  <si>
    <t>CBS</t>
  </si>
  <si>
    <t>Respite</t>
  </si>
  <si>
    <t>Blasini</t>
  </si>
  <si>
    <t xml:space="preserve">Jason </t>
  </si>
  <si>
    <t>01/27/2003</t>
  </si>
  <si>
    <t>Freeman</t>
  </si>
  <si>
    <t>Leo</t>
  </si>
  <si>
    <t>02/14/1962</t>
  </si>
  <si>
    <t>F71</t>
  </si>
  <si>
    <t>12 Wendover Place, BRIDGEWATER NJ 08807</t>
  </si>
  <si>
    <t>826 Emerson Avenue, ELIZABETH NJ 07208</t>
  </si>
  <si>
    <t>10 Banner Court, EAST BRUNSWICK NJ 08816</t>
  </si>
  <si>
    <t>981 Sunset Ridge, BRIDGEWATER NJ 08807</t>
  </si>
  <si>
    <t>25 Park Lane, PRINCETON NJ 08540</t>
  </si>
  <si>
    <t xml:space="preserve">20 Brookside Ave APT 4A, SOMERVILLE NJ 08876
</t>
  </si>
  <si>
    <t>262 Pinelli Dr, PISCATAWAY NJ 08854</t>
  </si>
  <si>
    <t>44 Margaret Dr, SOMERSET NJ 08873</t>
  </si>
  <si>
    <t>11 Butternut Ln, BASKING RIDGE NJ 07920</t>
  </si>
  <si>
    <t>123 Howsington Pl, EAST WINDSOR NJ 08520</t>
  </si>
  <si>
    <t>425 Henry St, SOUTH AMBOY NJ 08879</t>
  </si>
  <si>
    <t>580 Cabot Hill Rd, BRIDGEWATER NJ 08807</t>
  </si>
  <si>
    <t>16 Lakeview Drive, HELMETTA NJ 08828</t>
  </si>
  <si>
    <t>31 Jill Court, MONMOUTH JUNCTION NJ 08852</t>
  </si>
  <si>
    <t>313 Stirling Road, WATCHUNG NJ 07069</t>
  </si>
  <si>
    <t>22 Westminister Court, BELLE MEAD NJ 08502</t>
  </si>
  <si>
    <t>210 South 11th Ave, HIGHLAND PARK NJ 08904</t>
  </si>
  <si>
    <t>12 Sebring Rd, SOMERSET NJ 08873</t>
  </si>
  <si>
    <t>HOME ADDRESS</t>
  </si>
  <si>
    <t xml:space="preserve">Singh </t>
  </si>
  <si>
    <t>Amal</t>
  </si>
  <si>
    <t>1 Southerland Dr, EAST BRUNSWICK NJ 08816</t>
  </si>
  <si>
    <t>Jefferson</t>
  </si>
  <si>
    <t xml:space="preserve">Andre </t>
  </si>
  <si>
    <t>160 South Bridge St, SOMERVILLE NJ 08876</t>
  </si>
  <si>
    <t>Kevin</t>
  </si>
  <si>
    <t>230 Wilson Ave, HAMILTON NJ 08690</t>
  </si>
  <si>
    <t>Rachel</t>
  </si>
  <si>
    <t>401 Us Highway 22 W Apt 37C, NORTH PLAINFIELD NJ 07060</t>
  </si>
  <si>
    <t>Sahej</t>
  </si>
  <si>
    <t>1543 STATE ROUTE 27, SOMERSET, NJ 08873</t>
  </si>
  <si>
    <t>Shanique</t>
  </si>
  <si>
    <t>1165 Us Highway 22, NORTH PLAINFIELD NJ 07060</t>
  </si>
  <si>
    <t>Lazzaro</t>
  </si>
  <si>
    <t>Thomas</t>
  </si>
  <si>
    <t>75 Maple St, WATCHUNG NJ 07069</t>
  </si>
  <si>
    <t>LAST NAME</t>
  </si>
  <si>
    <t>FIRST NAME</t>
  </si>
  <si>
    <t>Andre</t>
  </si>
  <si>
    <t>04/16/1992</t>
  </si>
  <si>
    <t>Eric</t>
  </si>
  <si>
    <t>Fickas</t>
  </si>
  <si>
    <t>F72 G40909</t>
  </si>
  <si>
    <t>F840 G40909</t>
  </si>
  <si>
    <t>24 Homestead Farm Road, Milford, NJ 08848</t>
  </si>
  <si>
    <t>12/05/1988</t>
  </si>
  <si>
    <t>T2021 HI UN</t>
  </si>
  <si>
    <t>Tier E</t>
  </si>
  <si>
    <t>F71   F840 F99</t>
  </si>
  <si>
    <t>1552973451</t>
  </si>
  <si>
    <t>H2016 HI 22</t>
  </si>
  <si>
    <t>1552786412</t>
  </si>
  <si>
    <t>09/26/2001</t>
  </si>
  <si>
    <t>182080989601</t>
  </si>
  <si>
    <t>F840 F79 G40309</t>
  </si>
  <si>
    <t>700 Forest Park Lane, Old Bridge, NJ</t>
  </si>
  <si>
    <t>1553160683</t>
  </si>
  <si>
    <t xml:space="preserve">Shelly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</si>
</sst>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0000"/>
    <numFmt numFmtId="165" formatCode="&quot;$&quot;#,##0.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1" xfId="0" applyBorder="1"/>
    <xf numFmtId="14" fontId="0" fillId="2" borderId="1" xfId="0" applyNumberFormat="1" applyFill="1" applyBorder="1"/>
    <xf numFmtId="0" fontId="0" fillId="2" borderId="1" xfId="0" applyFill="1" applyBorder="1"/>
    <xf numFmtId="0" fontId="2" fillId="4" borderId="0" xfId="0" applyFont="1" applyFill="1"/>
    <xf numFmtId="0" fontId="0" fillId="4" borderId="0" xfId="0" applyFill="1"/>
    <xf numFmtId="8" fontId="0" fillId="0" borderId="1" xfId="0" applyNumberFormat="1" applyBorder="1"/>
    <xf numFmtId="14" fontId="0" fillId="0" borderId="1" xfId="0" applyNumberFormat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right"/>
    </xf>
    <xf numFmtId="8" fontId="0" fillId="5" borderId="1" xfId="0" applyNumberFormat="1" applyFill="1" applyBorder="1"/>
    <xf numFmtId="165" fontId="0" fillId="5" borderId="1" xfId="0" applyNumberFormat="1" applyFill="1" applyBorder="1"/>
    <xf numFmtId="0" fontId="0" fillId="5" borderId="1" xfId="0" applyFill="1" applyBorder="1"/>
    <xf numFmtId="165" fontId="3" fillId="0" borderId="1" xfId="0" applyNumberFormat="1" applyFont="1" applyBorder="1"/>
    <xf numFmtId="165" fontId="4" fillId="5" borderId="1" xfId="0" applyNumberFormat="1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8" fontId="5" fillId="0" borderId="1" xfId="0" applyNumberFormat="1" applyFont="1" applyBorder="1"/>
    <xf numFmtId="14" fontId="5" fillId="0" borderId="1" xfId="0" applyNumberFormat="1" applyFont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49" fontId="5" fillId="3" borderId="1" xfId="0" applyNumberFormat="1" applyFont="1" applyFill="1" applyBorder="1" applyAlignment="1">
      <alignment horizontal="left"/>
    </xf>
    <xf numFmtId="1" fontId="5" fillId="3" borderId="1" xfId="0" applyNumberFormat="1" applyFont="1" applyFill="1" applyBorder="1" applyAlignment="1">
      <alignment horizontal="left"/>
    </xf>
    <xf numFmtId="8" fontId="5" fillId="3" borderId="1" xfId="0" applyNumberFormat="1" applyFont="1" applyFill="1" applyBorder="1"/>
    <xf numFmtId="14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/>
    <xf numFmtId="49" fontId="5" fillId="0" borderId="1" xfId="0" applyNumberFormat="1" applyFont="1" applyBorder="1"/>
    <xf numFmtId="164" fontId="5" fillId="0" borderId="1" xfId="0" applyNumberFormat="1" applyFont="1" applyBorder="1" applyAlignment="1">
      <alignment horizontal="left"/>
    </xf>
    <xf numFmtId="49" fontId="5" fillId="3" borderId="1" xfId="0" applyNumberFormat="1" applyFont="1" applyFill="1" applyBorder="1"/>
    <xf numFmtId="164" fontId="5" fillId="3" borderId="1" xfId="0" applyNumberFormat="1" applyFont="1" applyFill="1" applyBorder="1" applyAlignment="1">
      <alignment horizontal="left"/>
    </xf>
    <xf numFmtId="0" fontId="0" fillId="3" borderId="1" xfId="0" applyFill="1" applyBorder="1"/>
    <xf numFmtId="8" fontId="5" fillId="0" borderId="1" xfId="0" applyNumberFormat="1" applyFont="1" applyBorder="1" applyAlignment="1">
      <alignment horizontal="left"/>
    </xf>
    <xf numFmtId="8" fontId="5" fillId="3" borderId="1" xfId="0" applyNumberFormat="1" applyFont="1" applyFill="1" applyBorder="1" applyAlignment="1">
      <alignment horizontal="left"/>
    </xf>
    <xf numFmtId="165" fontId="5" fillId="3" borderId="1" xfId="0" applyNumberFormat="1" applyFont="1" applyFill="1" applyBorder="1" applyAlignment="1">
      <alignment horizontal="left"/>
    </xf>
    <xf numFmtId="49" fontId="5" fillId="3" borderId="0" xfId="0" applyNumberFormat="1" applyFont="1" applyFill="1" applyAlignment="1">
      <alignment horizontal="left"/>
    </xf>
    <xf numFmtId="0" fontId="6" fillId="2" borderId="1" xfId="0" applyFont="1" applyFill="1" applyBorder="1"/>
    <xf numFmtId="0" fontId="7" fillId="2" borderId="1" xfId="0" applyFont="1" applyFill="1" applyBorder="1"/>
    <xf numFmtId="0" fontId="6" fillId="2" borderId="1" xfId="0" applyFont="1" applyFill="1" applyBorder="1" applyAlignment="1">
      <alignment horizontal="center"/>
    </xf>
    <xf numFmtId="14" fontId="6" fillId="2" borderId="1" xfId="0" applyNumberFormat="1" applyFont="1" applyFill="1" applyBorder="1"/>
    <xf numFmtId="0" fontId="6" fillId="2" borderId="3" xfId="0" applyFont="1" applyFill="1" applyBorder="1"/>
    <xf numFmtId="0" fontId="6" fillId="2" borderId="2" xfId="0" applyFont="1" applyFill="1" applyBorder="1"/>
    <xf numFmtId="8" fontId="5" fillId="5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4" fontId="5" fillId="3" borderId="0" xfId="0" applyNumberFormat="1" applyFont="1" applyFill="1" applyAlignment="1">
      <alignment horizontal="left"/>
    </xf>
    <xf numFmtId="0" fontId="5" fillId="0" borderId="3" xfId="0" applyFont="1" applyBorder="1"/>
    <xf numFmtId="0" fontId="6" fillId="0" borderId="1" xfId="0" applyFont="1" applyBorder="1"/>
    <xf numFmtId="14" fontId="6" fillId="0" borderId="0" xfId="0" applyNumberFormat="1" applyFont="1"/>
    <xf numFmtId="0" fontId="6" fillId="0" borderId="0" xfId="0" applyFont="1"/>
    <xf numFmtId="165" fontId="5" fillId="0" borderId="1" xfId="0" applyNumberFormat="1" applyFont="1" applyBorder="1" applyAlignment="1">
      <alignment horizontal="left"/>
    </xf>
    <xf numFmtId="0" fontId="8" fillId="0" borderId="1" xfId="0" applyFont="1" applyBorder="1"/>
    <xf numFmtId="0" fontId="9" fillId="0" borderId="1" xfId="0" applyFont="1" applyBorder="1"/>
    <xf numFmtId="0" fontId="10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2" fillId="0" borderId="1" xfId="0" applyFont="1" applyBorder="1"/>
    <xf numFmtId="0" fontId="5" fillId="6" borderId="1" xfId="0" applyFont="1" applyFill="1" applyBorder="1"/>
    <xf numFmtId="0" fontId="5" fillId="0" borderId="4" xfId="0" applyFont="1" applyBorder="1" applyAlignment="1">
      <alignment horizontal="center"/>
    </xf>
    <xf numFmtId="8" fontId="5" fillId="0" borderId="1" xfId="0" applyNumberFormat="1" applyFont="1" applyBorder="1" applyAlignment="1">
      <alignment horizontal="center"/>
    </xf>
    <xf numFmtId="0" fontId="5" fillId="3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0" borderId="5" xfId="0" applyFont="1" applyBorder="1"/>
    <xf numFmtId="0" fontId="5" fillId="3" borderId="5" xfId="0" applyFont="1" applyFill="1" applyBorder="1"/>
    <xf numFmtId="0" fontId="5" fillId="2" borderId="1" xfId="0" applyFont="1" applyFill="1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7" fillId="0" borderId="0" xfId="0" applyFont="1" applyAlignment="1">
      <alignment horizontal="left"/>
    </xf>
    <xf numFmtId="0" fontId="5" fillId="5" borderId="1" xfId="0" applyFont="1" applyFill="1" applyBorder="1" applyAlignment="1">
      <alignment horizontal="left"/>
    </xf>
    <xf numFmtId="49" fontId="5" fillId="5" borderId="1" xfId="0" applyNumberFormat="1" applyFont="1" applyFill="1" applyBorder="1" applyAlignment="1">
      <alignment horizontal="left"/>
    </xf>
    <xf numFmtId="1" fontId="5" fillId="5" borderId="1" xfId="0" applyNumberFormat="1" applyFont="1" applyFill="1" applyBorder="1" applyAlignment="1">
      <alignment horizontal="left"/>
    </xf>
    <xf numFmtId="0" fontId="5" fillId="5" borderId="1" xfId="0" applyFont="1" applyFill="1" applyBorder="1"/>
    <xf numFmtId="8" fontId="5" fillId="5" borderId="1" xfId="0" applyNumberFormat="1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14" fontId="5" fillId="5" borderId="1" xfId="0" applyNumberFormat="1" applyFont="1" applyFill="1" applyBorder="1" applyAlignment="1">
      <alignment horizontal="left"/>
    </xf>
    <xf numFmtId="0" fontId="5" fillId="5" borderId="0" xfId="0" applyFont="1" applyFill="1"/>
    <xf numFmtId="8" fontId="5" fillId="5" borderId="1" xfId="0" applyNumberFormat="1" applyFont="1" applyFill="1" applyBorder="1"/>
    <xf numFmtId="0" fontId="13" fillId="3" borderId="0" xfId="0" applyFont="1" applyFill="1" applyAlignment="1">
      <alignment horizontal="left"/>
    </xf>
    <xf numFmtId="0" fontId="5" fillId="3" borderId="0" xfId="0" applyFont="1" applyFill="1"/>
    <xf numFmtId="14" fontId="14" fillId="3" borderId="1" xfId="0" applyNumberFormat="1" applyFont="1" applyFill="1" applyBorder="1" applyAlignment="1">
      <alignment horizontal="left"/>
    </xf>
  </cellXfs>
  <cellStyles count="14">
    <cellStyle name="Normal" xfId="0" builtinId="0"/>
    <cellStyle name="Normal 10" xfId="5" xr:uid="{B84672DC-7FDF-45EA-B990-B730355F211F}"/>
    <cellStyle name="Normal 11" xfId="12" xr:uid="{CC585F6A-8A79-44D4-B7D8-BE633544888B}"/>
    <cellStyle name="Normal 14" xfId="9" xr:uid="{918602B9-C9AB-4B24-93E1-8493505AD466}"/>
    <cellStyle name="Normal 15" xfId="10" xr:uid="{8056891A-59AA-410C-BD6A-71061855B16E}"/>
    <cellStyle name="Normal 18" xfId="13" xr:uid="{3F2511E1-F3FA-4678-AC20-05104E616D51}"/>
    <cellStyle name="Normal 19" xfId="4" xr:uid="{03916EF7-903E-4F46-BB27-F1EB9ECDCFF7}"/>
    <cellStyle name="Normal 2" xfId="2" xr:uid="{B36C50C9-CA5C-48CA-B027-8F43BB3ACD3A}"/>
    <cellStyle name="Normal 20" xfId="3" xr:uid="{C2EB24F7-90F2-4498-A2A0-69C032129772}"/>
    <cellStyle name="Normal 3" xfId="7" xr:uid="{1FB3EB98-D8CB-4B9C-91D7-FCDAB7766698}"/>
    <cellStyle name="Normal 30" xfId="11" xr:uid="{2112A5EF-81B9-4A3C-9E53-2D3CBA52CBA2}"/>
    <cellStyle name="Normal 5" xfId="8" xr:uid="{10168E78-9088-4010-8D9E-DE9334B88417}"/>
    <cellStyle name="Normal 6" xfId="1" xr:uid="{33FE31B2-9F0B-49E9-B293-E2B109BFBE58}"/>
    <cellStyle name="Normal 9" xfId="6" xr:uid="{72000888-DC1F-4536-B58A-7E66D84990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97DA-EB51-44FF-B2D8-9B46488AC378}">
  <dimension ref="A6:AE51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8" sqref="K8"/>
    </sheetView>
  </sheetViews>
  <sheetFormatPr defaultRowHeight="14.4" x14ac:dyDescent="0.3"/>
  <cols>
    <col min="1" max="1" width="4.6640625" customWidth="1"/>
    <col min="2" max="2" width="25.77734375" bestFit="1" customWidth="1"/>
    <col min="3" max="3" width="26.33203125" bestFit="1" customWidth="1"/>
    <col min="4" max="4" width="26.109375" bestFit="1" customWidth="1"/>
    <col min="5" max="5" width="21.77734375" bestFit="1" customWidth="1"/>
    <col min="6" max="6" width="34.21875" bestFit="1" customWidth="1"/>
    <col min="7" max="7" width="19.44140625" customWidth="1"/>
    <col min="8" max="8" width="28.33203125" bestFit="1" customWidth="1"/>
    <col min="9" max="9" width="30" bestFit="1" customWidth="1"/>
    <col min="10" max="10" width="9.6640625" bestFit="1" customWidth="1"/>
    <col min="11" max="11" width="9.109375" customWidth="1"/>
    <col min="12" max="12" width="15" customWidth="1"/>
    <col min="13" max="13" width="19.21875" bestFit="1" customWidth="1"/>
    <col min="14" max="14" width="17.6640625" bestFit="1" customWidth="1"/>
    <col min="16" max="18" width="16.44140625" bestFit="1" customWidth="1"/>
    <col min="19" max="19" width="17.6640625" bestFit="1" customWidth="1"/>
    <col min="20" max="21" width="18.77734375" bestFit="1" customWidth="1"/>
    <col min="22" max="22" width="17.6640625" bestFit="1" customWidth="1"/>
    <col min="23" max="23" width="16.44140625" bestFit="1" customWidth="1"/>
    <col min="24" max="26" width="18.77734375" bestFit="1" customWidth="1"/>
    <col min="27" max="27" width="16.44140625" bestFit="1" customWidth="1"/>
    <col min="28" max="28" width="17.6640625" bestFit="1" customWidth="1"/>
    <col min="29" max="30" width="18.77734375" bestFit="1" customWidth="1"/>
    <col min="31" max="31" width="14.88671875" customWidth="1"/>
  </cols>
  <sheetData>
    <row r="6" spans="1:31" ht="27.6" customHeight="1" x14ac:dyDescent="0.35">
      <c r="A6" s="43" t="s">
        <v>5</v>
      </c>
      <c r="B6" s="44" t="s">
        <v>0</v>
      </c>
      <c r="C6" s="44" t="s">
        <v>126</v>
      </c>
      <c r="D6" s="44" t="s">
        <v>1</v>
      </c>
      <c r="E6" s="44" t="s">
        <v>64</v>
      </c>
      <c r="F6" s="44" t="s">
        <v>4</v>
      </c>
      <c r="G6" s="44" t="s">
        <v>65</v>
      </c>
      <c r="H6" s="44" t="s">
        <v>67</v>
      </c>
      <c r="I6" s="71" t="s">
        <v>84</v>
      </c>
      <c r="J6" s="44" t="s">
        <v>61</v>
      </c>
      <c r="K6" s="44" t="s">
        <v>45</v>
      </c>
      <c r="L6" s="44" t="s">
        <v>106</v>
      </c>
      <c r="M6" s="43" t="s">
        <v>2</v>
      </c>
      <c r="N6" s="43" t="s">
        <v>3</v>
      </c>
      <c r="O6" s="44" t="s">
        <v>45</v>
      </c>
      <c r="P6" s="46" t="s">
        <v>46</v>
      </c>
      <c r="Q6" s="43" t="s">
        <v>47</v>
      </c>
      <c r="R6" s="43" t="s">
        <v>48</v>
      </c>
      <c r="S6" s="43" t="s">
        <v>49</v>
      </c>
      <c r="T6" s="43" t="s">
        <v>50</v>
      </c>
      <c r="U6" s="43" t="s">
        <v>51</v>
      </c>
      <c r="V6" s="43" t="s">
        <v>52</v>
      </c>
      <c r="W6" s="47" t="s">
        <v>53</v>
      </c>
      <c r="X6" s="47" t="s">
        <v>54</v>
      </c>
      <c r="Y6" s="47" t="s">
        <v>55</v>
      </c>
      <c r="Z6" s="47" t="s">
        <v>56</v>
      </c>
      <c r="AA6" s="47" t="s">
        <v>57</v>
      </c>
      <c r="AB6" s="47" t="s">
        <v>58</v>
      </c>
      <c r="AC6" s="47" t="s">
        <v>59</v>
      </c>
      <c r="AD6" s="48" t="s">
        <v>60</v>
      </c>
      <c r="AE6" s="43" t="s">
        <v>62</v>
      </c>
    </row>
    <row r="7" spans="1:31" s="26" customFormat="1" ht="24.6" customHeight="1" x14ac:dyDescent="0.35">
      <c r="A7" s="19">
        <v>1</v>
      </c>
      <c r="B7" s="20" t="s">
        <v>10</v>
      </c>
      <c r="C7" s="20" t="s">
        <v>9</v>
      </c>
      <c r="D7" s="21" t="s">
        <v>93</v>
      </c>
      <c r="E7" s="22">
        <v>202082550601</v>
      </c>
      <c r="F7" s="22" t="s">
        <v>66</v>
      </c>
      <c r="G7" s="22">
        <v>1552881436</v>
      </c>
      <c r="H7" s="22" t="s">
        <v>68</v>
      </c>
      <c r="I7" s="19" t="s">
        <v>12</v>
      </c>
      <c r="J7" s="23">
        <v>5.68</v>
      </c>
      <c r="K7" s="19">
        <v>71</v>
      </c>
      <c r="L7" s="39">
        <f t="shared" ref="L7:L20" si="0">J7*K7</f>
        <v>403.28</v>
      </c>
      <c r="M7" s="24">
        <v>45564</v>
      </c>
      <c r="N7" s="24">
        <v>45749</v>
      </c>
      <c r="O7" s="20">
        <v>1968</v>
      </c>
      <c r="P7" s="25"/>
      <c r="Q7" s="25"/>
      <c r="R7" s="25">
        <v>-75</v>
      </c>
      <c r="S7" s="25">
        <v>-120</v>
      </c>
      <c r="T7" s="25">
        <v>-120</v>
      </c>
      <c r="U7" s="25">
        <v>-120</v>
      </c>
      <c r="V7" s="25">
        <v>-120</v>
      </c>
      <c r="W7" s="25">
        <v>-120</v>
      </c>
      <c r="X7" s="25"/>
      <c r="Y7" s="25"/>
      <c r="Z7" s="25"/>
      <c r="AA7" s="25"/>
      <c r="AB7" s="25"/>
      <c r="AC7" s="25"/>
      <c r="AD7" s="25"/>
      <c r="AE7" s="25">
        <f t="shared" ref="AE7:AE17" si="1">SUM(O7:AD7)</f>
        <v>1293</v>
      </c>
    </row>
    <row r="8" spans="1:31" s="87" customFormat="1" ht="24.6" customHeight="1" x14ac:dyDescent="0.35">
      <c r="A8" s="85">
        <v>1</v>
      </c>
      <c r="B8" s="80" t="s">
        <v>10</v>
      </c>
      <c r="C8" s="80" t="s">
        <v>9</v>
      </c>
      <c r="D8" s="81" t="s">
        <v>93</v>
      </c>
      <c r="E8" s="82">
        <v>202082550601</v>
      </c>
      <c r="F8" s="82" t="s">
        <v>66</v>
      </c>
      <c r="G8" s="82">
        <v>1553161974</v>
      </c>
      <c r="H8" s="82" t="s">
        <v>68</v>
      </c>
      <c r="I8" s="85" t="s">
        <v>12</v>
      </c>
      <c r="J8" s="88">
        <v>5.68</v>
      </c>
      <c r="K8" s="85">
        <v>4</v>
      </c>
      <c r="L8" s="84">
        <f t="shared" ref="L8" si="2">J8*K8</f>
        <v>22.72</v>
      </c>
      <c r="M8" s="86">
        <v>45750</v>
      </c>
      <c r="N8" s="86">
        <v>46114</v>
      </c>
      <c r="O8" s="80">
        <v>5664</v>
      </c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</row>
    <row r="9" spans="1:31" s="26" customFormat="1" ht="24.6" customHeight="1" x14ac:dyDescent="0.35">
      <c r="A9" s="27">
        <v>2</v>
      </c>
      <c r="B9" s="28" t="s">
        <v>14</v>
      </c>
      <c r="C9" s="28" t="s">
        <v>13</v>
      </c>
      <c r="D9" s="29" t="s">
        <v>92</v>
      </c>
      <c r="E9" s="29" t="s">
        <v>16</v>
      </c>
      <c r="F9" s="29" t="s">
        <v>66</v>
      </c>
      <c r="G9" s="29" t="s">
        <v>78</v>
      </c>
      <c r="H9" s="30" t="s">
        <v>70</v>
      </c>
      <c r="I9" s="27" t="s">
        <v>17</v>
      </c>
      <c r="J9" s="31">
        <v>15.56</v>
      </c>
      <c r="K9" s="27">
        <v>110</v>
      </c>
      <c r="L9" s="40">
        <f t="shared" si="0"/>
        <v>1711.6000000000001</v>
      </c>
      <c r="M9" s="32">
        <v>45494</v>
      </c>
      <c r="N9" s="32">
        <v>45803</v>
      </c>
      <c r="O9" s="28">
        <v>5924</v>
      </c>
      <c r="P9" s="33"/>
      <c r="Q9" s="33"/>
      <c r="R9" s="33"/>
      <c r="S9" s="33">
        <v>-34</v>
      </c>
      <c r="T9" s="33">
        <v>-40</v>
      </c>
      <c r="U9" s="33">
        <v>-80</v>
      </c>
      <c r="V9" s="33">
        <v>-80</v>
      </c>
      <c r="W9" s="33">
        <v>-116</v>
      </c>
      <c r="X9" s="33"/>
      <c r="Y9" s="33"/>
      <c r="Z9" s="33"/>
      <c r="AA9" s="33"/>
      <c r="AB9" s="33"/>
      <c r="AC9" s="33"/>
      <c r="AD9" s="33"/>
      <c r="AE9" s="33">
        <f t="shared" si="1"/>
        <v>5574</v>
      </c>
    </row>
    <row r="10" spans="1:31" s="26" customFormat="1" ht="24.6" customHeight="1" x14ac:dyDescent="0.35">
      <c r="A10" s="19">
        <v>3</v>
      </c>
      <c r="B10" s="20" t="s">
        <v>19</v>
      </c>
      <c r="C10" s="20" t="s">
        <v>18</v>
      </c>
      <c r="D10" s="24">
        <v>37211</v>
      </c>
      <c r="E10" s="21" t="s">
        <v>20</v>
      </c>
      <c r="F10" s="21" t="s">
        <v>15</v>
      </c>
      <c r="G10" s="21" t="s">
        <v>75</v>
      </c>
      <c r="H10" s="22" t="s">
        <v>68</v>
      </c>
      <c r="I10" s="19" t="s">
        <v>12</v>
      </c>
      <c r="J10" s="23">
        <v>5.68</v>
      </c>
      <c r="K10" s="19">
        <v>114</v>
      </c>
      <c r="L10" s="39">
        <f t="shared" si="0"/>
        <v>647.52</v>
      </c>
      <c r="M10" s="24">
        <v>45550</v>
      </c>
      <c r="N10" s="24">
        <v>45798</v>
      </c>
      <c r="O10" s="20">
        <v>2208</v>
      </c>
      <c r="P10" s="25">
        <v>-93</v>
      </c>
      <c r="Q10" s="25"/>
      <c r="R10" s="25">
        <v>-240</v>
      </c>
      <c r="S10" s="25">
        <v>-120</v>
      </c>
      <c r="T10" s="25">
        <v>-120</v>
      </c>
      <c r="U10" s="25">
        <v>-120</v>
      </c>
      <c r="V10" s="25">
        <v>-120</v>
      </c>
      <c r="W10" s="25">
        <v>-120</v>
      </c>
      <c r="X10" s="25"/>
      <c r="Y10" s="25"/>
      <c r="Z10" s="25"/>
      <c r="AA10" s="25"/>
      <c r="AB10" s="25"/>
      <c r="AC10" s="25"/>
      <c r="AD10" s="25"/>
      <c r="AE10" s="25">
        <f t="shared" si="1"/>
        <v>1275</v>
      </c>
    </row>
    <row r="11" spans="1:31" s="26" customFormat="1" ht="24.6" customHeight="1" x14ac:dyDescent="0.35">
      <c r="A11" s="27">
        <v>4</v>
      </c>
      <c r="B11" s="28" t="s">
        <v>22</v>
      </c>
      <c r="C11" s="28" t="s">
        <v>21</v>
      </c>
      <c r="D11" s="29" t="s">
        <v>91</v>
      </c>
      <c r="E11" s="29" t="s">
        <v>23</v>
      </c>
      <c r="F11" s="29" t="s">
        <v>63</v>
      </c>
      <c r="G11" s="29" t="s">
        <v>116</v>
      </c>
      <c r="H11" s="30" t="s">
        <v>69</v>
      </c>
      <c r="I11" s="33" t="s">
        <v>24</v>
      </c>
      <c r="J11" s="40">
        <v>11.72</v>
      </c>
      <c r="K11" s="27">
        <v>108</v>
      </c>
      <c r="L11" s="40">
        <f t="shared" si="0"/>
        <v>1265.76</v>
      </c>
      <c r="M11" s="32">
        <v>45645</v>
      </c>
      <c r="N11" s="32">
        <v>46009</v>
      </c>
      <c r="O11" s="28">
        <v>600</v>
      </c>
      <c r="P11" s="33"/>
      <c r="Q11" s="33"/>
      <c r="R11" s="33"/>
      <c r="S11" s="33">
        <v>-96</v>
      </c>
      <c r="T11" s="33">
        <v>-120</v>
      </c>
      <c r="U11" s="33">
        <v>-120</v>
      </c>
      <c r="V11" s="33">
        <v>-113</v>
      </c>
      <c r="W11" s="33">
        <v>-107</v>
      </c>
      <c r="X11" s="33"/>
      <c r="Y11" s="33"/>
      <c r="Z11" s="33"/>
      <c r="AA11" s="33"/>
      <c r="AB11" s="33"/>
      <c r="AC11" s="33"/>
      <c r="AD11" s="33"/>
      <c r="AE11" s="33">
        <f t="shared" si="1"/>
        <v>44</v>
      </c>
    </row>
    <row r="12" spans="1:31" s="26" customFormat="1" ht="24.6" customHeight="1" x14ac:dyDescent="0.35">
      <c r="A12" s="19">
        <v>5</v>
      </c>
      <c r="B12" s="20" t="s">
        <v>26</v>
      </c>
      <c r="C12" s="20" t="s">
        <v>25</v>
      </c>
      <c r="D12" s="21" t="s">
        <v>90</v>
      </c>
      <c r="E12" s="21" t="s">
        <v>27</v>
      </c>
      <c r="F12" s="21" t="s">
        <v>28</v>
      </c>
      <c r="G12" s="21" t="s">
        <v>72</v>
      </c>
      <c r="H12" s="22" t="s">
        <v>70</v>
      </c>
      <c r="I12" s="19" t="s">
        <v>17</v>
      </c>
      <c r="J12" s="39">
        <v>15.56</v>
      </c>
      <c r="K12" s="19">
        <v>45</v>
      </c>
      <c r="L12" s="39">
        <f t="shared" si="0"/>
        <v>700.2</v>
      </c>
      <c r="M12" s="24">
        <v>45552</v>
      </c>
      <c r="N12" s="24">
        <v>45898</v>
      </c>
      <c r="O12" s="20">
        <v>1152</v>
      </c>
      <c r="P12" s="25"/>
      <c r="Q12" s="25"/>
      <c r="R12" s="25">
        <v>-168</v>
      </c>
      <c r="S12" s="25">
        <v>-72</v>
      </c>
      <c r="T12" s="25">
        <v>-72</v>
      </c>
      <c r="U12" s="25">
        <v>-48</v>
      </c>
      <c r="V12" s="25">
        <v>-48</v>
      </c>
      <c r="W12" s="25">
        <v>-72</v>
      </c>
      <c r="X12" s="25"/>
      <c r="Y12" s="25"/>
      <c r="Z12" s="25"/>
      <c r="AA12" s="25"/>
      <c r="AB12" s="25"/>
      <c r="AC12" s="25"/>
      <c r="AD12" s="25"/>
      <c r="AE12" s="25">
        <f t="shared" si="1"/>
        <v>672</v>
      </c>
    </row>
    <row r="13" spans="1:31" s="26" customFormat="1" ht="24.6" customHeight="1" x14ac:dyDescent="0.35">
      <c r="A13" s="27">
        <v>6</v>
      </c>
      <c r="B13" s="28" t="s">
        <v>76</v>
      </c>
      <c r="C13" s="28" t="s">
        <v>29</v>
      </c>
      <c r="D13" s="29" t="s">
        <v>89</v>
      </c>
      <c r="E13" s="29" t="s">
        <v>30</v>
      </c>
      <c r="F13" s="29" t="s">
        <v>77</v>
      </c>
      <c r="G13" s="29" t="s">
        <v>112</v>
      </c>
      <c r="H13" s="30" t="s">
        <v>70</v>
      </c>
      <c r="I13" s="27" t="s">
        <v>17</v>
      </c>
      <c r="J13" s="40">
        <v>15.56</v>
      </c>
      <c r="K13" s="27">
        <v>105</v>
      </c>
      <c r="L13" s="40">
        <f t="shared" si="0"/>
        <v>1633.8</v>
      </c>
      <c r="M13" s="32">
        <v>45620</v>
      </c>
      <c r="N13" s="32">
        <v>45984</v>
      </c>
      <c r="O13" s="28">
        <v>1080</v>
      </c>
      <c r="P13" s="33">
        <v>-117</v>
      </c>
      <c r="Q13" s="33"/>
      <c r="R13" s="33">
        <v>-240</v>
      </c>
      <c r="S13" s="33">
        <v>-120</v>
      </c>
      <c r="T13" s="33">
        <v>-120</v>
      </c>
      <c r="U13" s="33">
        <v>-120</v>
      </c>
      <c r="V13" s="33"/>
      <c r="W13" s="33"/>
      <c r="X13" s="33"/>
      <c r="Y13" s="33"/>
      <c r="Z13" s="33"/>
      <c r="AA13" s="33"/>
      <c r="AB13" s="33"/>
      <c r="AC13" s="33"/>
      <c r="AD13" s="33"/>
      <c r="AE13" s="33">
        <f t="shared" si="1"/>
        <v>363</v>
      </c>
    </row>
    <row r="14" spans="1:31" s="26" customFormat="1" ht="24.6" customHeight="1" x14ac:dyDescent="0.35">
      <c r="A14" s="19">
        <v>7</v>
      </c>
      <c r="B14" s="20" t="s">
        <v>33</v>
      </c>
      <c r="C14" s="20" t="s">
        <v>32</v>
      </c>
      <c r="D14" s="21" t="s">
        <v>88</v>
      </c>
      <c r="E14" s="21" t="s">
        <v>34</v>
      </c>
      <c r="F14" s="21" t="s">
        <v>71</v>
      </c>
      <c r="G14" s="21" t="s">
        <v>198</v>
      </c>
      <c r="H14" s="22" t="s">
        <v>69</v>
      </c>
      <c r="I14" s="25" t="s">
        <v>24</v>
      </c>
      <c r="J14" s="39">
        <v>11.72</v>
      </c>
      <c r="K14" s="19">
        <v>43</v>
      </c>
      <c r="L14" s="39">
        <f t="shared" ref="L14" si="3">J14*K14</f>
        <v>503.96000000000004</v>
      </c>
      <c r="M14" s="24">
        <v>45748</v>
      </c>
      <c r="N14" s="24">
        <v>46112</v>
      </c>
      <c r="O14" s="20">
        <v>3775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</row>
    <row r="15" spans="1:31" s="26" customFormat="1" ht="24.6" customHeight="1" x14ac:dyDescent="0.35">
      <c r="A15" s="27">
        <v>8</v>
      </c>
      <c r="B15" s="28" t="s">
        <v>36</v>
      </c>
      <c r="C15" s="28" t="s">
        <v>35</v>
      </c>
      <c r="D15" s="29" t="s">
        <v>87</v>
      </c>
      <c r="E15" s="29" t="s">
        <v>37</v>
      </c>
      <c r="F15" s="29" t="s">
        <v>79</v>
      </c>
      <c r="G15" s="29" t="s">
        <v>100</v>
      </c>
      <c r="H15" s="30" t="s">
        <v>73</v>
      </c>
      <c r="I15" s="27" t="s">
        <v>38</v>
      </c>
      <c r="J15" s="40">
        <v>8.43</v>
      </c>
      <c r="K15" s="27">
        <v>70</v>
      </c>
      <c r="L15" s="40">
        <f t="shared" si="0"/>
        <v>590.1</v>
      </c>
      <c r="M15" s="32">
        <v>45611</v>
      </c>
      <c r="N15" s="32">
        <v>45975</v>
      </c>
      <c r="O15" s="28">
        <v>1320</v>
      </c>
      <c r="P15" s="33"/>
      <c r="Q15" s="33"/>
      <c r="R15" s="33"/>
      <c r="S15" s="33">
        <v>-24</v>
      </c>
      <c r="T15" s="33">
        <v>-48</v>
      </c>
      <c r="U15" s="33">
        <v>-72</v>
      </c>
      <c r="V15" s="33"/>
      <c r="W15" s="33">
        <v>-72</v>
      </c>
      <c r="X15" s="33"/>
      <c r="Y15" s="33"/>
      <c r="Z15" s="33"/>
      <c r="AA15" s="33"/>
      <c r="AB15" s="33"/>
      <c r="AC15" s="33"/>
      <c r="AD15" s="33"/>
      <c r="AE15" s="33">
        <f t="shared" si="1"/>
        <v>1104</v>
      </c>
    </row>
    <row r="16" spans="1:31" s="26" customFormat="1" ht="24.6" customHeight="1" x14ac:dyDescent="0.35">
      <c r="A16" s="19">
        <v>9</v>
      </c>
      <c r="B16" s="20" t="s">
        <v>40</v>
      </c>
      <c r="C16" s="20" t="s">
        <v>39</v>
      </c>
      <c r="D16" s="21" t="s">
        <v>97</v>
      </c>
      <c r="E16" s="21" t="s">
        <v>41</v>
      </c>
      <c r="F16" s="22" t="s">
        <v>80</v>
      </c>
      <c r="G16" s="21" t="s">
        <v>81</v>
      </c>
      <c r="H16" s="22" t="s">
        <v>70</v>
      </c>
      <c r="I16" s="19" t="s">
        <v>17</v>
      </c>
      <c r="J16" s="39">
        <v>15.56</v>
      </c>
      <c r="K16" s="19">
        <v>43</v>
      </c>
      <c r="L16" s="39">
        <f t="shared" si="0"/>
        <v>669.08</v>
      </c>
      <c r="M16" s="24">
        <v>45552</v>
      </c>
      <c r="N16" s="24">
        <v>45779</v>
      </c>
      <c r="O16" s="20">
        <v>888</v>
      </c>
      <c r="P16" s="25"/>
      <c r="Q16" s="25"/>
      <c r="R16" s="25">
        <v>-95</v>
      </c>
      <c r="S16" s="25">
        <v>-48</v>
      </c>
      <c r="T16" s="25">
        <v>-48</v>
      </c>
      <c r="U16" s="25">
        <v>-19</v>
      </c>
      <c r="V16" s="25">
        <v>-48</v>
      </c>
      <c r="W16" s="25">
        <v>-48</v>
      </c>
      <c r="X16" s="25"/>
      <c r="Y16" s="25"/>
      <c r="Z16" s="25"/>
      <c r="AA16" s="25"/>
      <c r="AB16" s="25"/>
      <c r="AC16" s="25"/>
      <c r="AD16" s="25"/>
      <c r="AE16" s="25">
        <f t="shared" si="1"/>
        <v>582</v>
      </c>
    </row>
    <row r="17" spans="1:31" s="90" customFormat="1" ht="24.6" customHeight="1" x14ac:dyDescent="0.35">
      <c r="A17" s="27">
        <v>10</v>
      </c>
      <c r="B17" s="28" t="s">
        <v>43</v>
      </c>
      <c r="C17" s="28" t="s">
        <v>42</v>
      </c>
      <c r="D17" s="29" t="s">
        <v>86</v>
      </c>
      <c r="E17" s="29" t="s">
        <v>44</v>
      </c>
      <c r="F17" s="30" t="s">
        <v>185</v>
      </c>
      <c r="G17" s="89">
        <v>1553159954</v>
      </c>
      <c r="H17" s="30" t="s">
        <v>73</v>
      </c>
      <c r="I17" s="27" t="s">
        <v>38</v>
      </c>
      <c r="J17" s="40">
        <v>8.43</v>
      </c>
      <c r="K17" s="27">
        <v>110</v>
      </c>
      <c r="L17" s="40">
        <f t="shared" si="0"/>
        <v>927.3</v>
      </c>
      <c r="M17" s="32">
        <v>45743</v>
      </c>
      <c r="N17" s="91">
        <v>46107</v>
      </c>
      <c r="O17" s="28">
        <v>2208</v>
      </c>
      <c r="P17" s="33">
        <v>-70</v>
      </c>
      <c r="Q17" s="33"/>
      <c r="R17" s="33">
        <v>-236</v>
      </c>
      <c r="S17" s="33">
        <v>-96</v>
      </c>
      <c r="T17" s="33">
        <v>-80</v>
      </c>
      <c r="U17" s="33">
        <v>-120</v>
      </c>
      <c r="V17" s="33">
        <v>-120</v>
      </c>
      <c r="W17" s="33">
        <v>-120</v>
      </c>
      <c r="X17" s="33"/>
      <c r="Y17" s="33"/>
      <c r="Z17" s="33"/>
      <c r="AA17" s="33"/>
      <c r="AB17" s="33"/>
      <c r="AC17" s="33"/>
      <c r="AD17" s="33"/>
      <c r="AE17" s="33">
        <f t="shared" si="1"/>
        <v>1366</v>
      </c>
    </row>
    <row r="18" spans="1:31" s="26" customFormat="1" ht="24.6" customHeight="1" x14ac:dyDescent="0.35">
      <c r="A18" s="19">
        <v>11</v>
      </c>
      <c r="B18" s="25" t="s">
        <v>8</v>
      </c>
      <c r="C18" s="25" t="s">
        <v>7</v>
      </c>
      <c r="D18" s="24">
        <v>32795</v>
      </c>
      <c r="E18" s="22">
        <v>122081978901</v>
      </c>
      <c r="F18" s="25" t="s">
        <v>85</v>
      </c>
      <c r="G18" s="20">
        <v>1552957150</v>
      </c>
      <c r="H18" s="25" t="s">
        <v>73</v>
      </c>
      <c r="I18" s="19" t="s">
        <v>38</v>
      </c>
      <c r="J18" s="39">
        <v>8.43</v>
      </c>
      <c r="K18" s="19">
        <v>114</v>
      </c>
      <c r="L18" s="39">
        <f t="shared" si="0"/>
        <v>961.02</v>
      </c>
      <c r="M18" s="24">
        <v>45606</v>
      </c>
      <c r="N18" s="24">
        <v>45970</v>
      </c>
      <c r="O18" s="20">
        <v>1248</v>
      </c>
      <c r="P18" s="25"/>
      <c r="Q18" s="25"/>
      <c r="R18" s="25"/>
      <c r="S18" s="25"/>
      <c r="T18" s="25"/>
      <c r="U18" s="25"/>
      <c r="V18" s="25">
        <v>-48</v>
      </c>
      <c r="W18" s="25">
        <v>-120</v>
      </c>
      <c r="X18" s="25"/>
      <c r="Y18" s="25"/>
      <c r="Z18" s="25"/>
      <c r="AA18" s="25"/>
      <c r="AB18" s="25"/>
      <c r="AC18" s="25"/>
      <c r="AD18" s="25"/>
      <c r="AE18" s="25"/>
    </row>
    <row r="19" spans="1:31" s="26" customFormat="1" ht="24.6" customHeight="1" x14ac:dyDescent="0.35">
      <c r="A19" s="27">
        <v>12</v>
      </c>
      <c r="B19" s="33" t="s">
        <v>101</v>
      </c>
      <c r="C19" s="33" t="s">
        <v>31</v>
      </c>
      <c r="D19" s="36" t="s">
        <v>102</v>
      </c>
      <c r="E19" s="37">
        <v>182081013101</v>
      </c>
      <c r="F19" s="33" t="s">
        <v>107</v>
      </c>
      <c r="G19" s="28">
        <v>1552973243</v>
      </c>
      <c r="H19" s="33" t="s">
        <v>73</v>
      </c>
      <c r="I19" s="27" t="s">
        <v>38</v>
      </c>
      <c r="J19" s="40">
        <v>8.43</v>
      </c>
      <c r="K19" s="27">
        <v>113</v>
      </c>
      <c r="L19" s="41">
        <f t="shared" si="0"/>
        <v>952.58999999999992</v>
      </c>
      <c r="M19" s="32">
        <v>45618</v>
      </c>
      <c r="N19" s="32">
        <v>45972</v>
      </c>
      <c r="O19" s="28">
        <v>4464</v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</row>
    <row r="20" spans="1:31" s="26" customFormat="1" ht="24.6" customHeight="1" x14ac:dyDescent="0.35">
      <c r="A20" s="19">
        <v>13</v>
      </c>
      <c r="B20" s="20" t="s">
        <v>103</v>
      </c>
      <c r="C20" s="20" t="s">
        <v>104</v>
      </c>
      <c r="D20" s="21" t="s">
        <v>105</v>
      </c>
      <c r="E20" s="35">
        <v>122083143301</v>
      </c>
      <c r="F20" s="20" t="s">
        <v>15</v>
      </c>
      <c r="G20" s="20">
        <v>1552973767</v>
      </c>
      <c r="H20" s="22" t="s">
        <v>70</v>
      </c>
      <c r="I20" s="20" t="s">
        <v>17</v>
      </c>
      <c r="J20" s="39">
        <v>15.56</v>
      </c>
      <c r="K20" s="19">
        <v>0</v>
      </c>
      <c r="L20" s="39">
        <f t="shared" si="0"/>
        <v>0</v>
      </c>
      <c r="M20" s="24">
        <v>45621</v>
      </c>
      <c r="N20" s="24">
        <v>45798</v>
      </c>
      <c r="O20" s="20">
        <v>408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 spans="1:31" s="26" customFormat="1" ht="24.6" customHeight="1" x14ac:dyDescent="0.35">
      <c r="A21" s="33">
        <v>14</v>
      </c>
      <c r="B21" s="33" t="s">
        <v>111</v>
      </c>
      <c r="C21" s="33" t="s">
        <v>108</v>
      </c>
      <c r="D21" s="42" t="s">
        <v>109</v>
      </c>
      <c r="E21" s="37">
        <v>122082599901</v>
      </c>
      <c r="F21" s="33" t="s">
        <v>110</v>
      </c>
      <c r="G21" s="28">
        <v>1552974524</v>
      </c>
      <c r="H21" s="30" t="s">
        <v>69</v>
      </c>
      <c r="I21" s="33" t="s">
        <v>24</v>
      </c>
      <c r="J21" s="40">
        <v>11.72</v>
      </c>
      <c r="K21" s="27">
        <v>108</v>
      </c>
      <c r="L21" s="41">
        <f t="shared" ref="L21:L28" si="4">J21*K21</f>
        <v>1265.76</v>
      </c>
      <c r="M21" s="51">
        <v>45628</v>
      </c>
      <c r="N21" s="32">
        <v>45905</v>
      </c>
      <c r="O21" s="28">
        <v>1848</v>
      </c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</row>
    <row r="22" spans="1:31" s="26" customFormat="1" ht="24.6" customHeight="1" x14ac:dyDescent="0.35">
      <c r="A22" s="25">
        <v>15</v>
      </c>
      <c r="B22" s="25" t="s">
        <v>114</v>
      </c>
      <c r="C22" s="25" t="s">
        <v>113</v>
      </c>
      <c r="D22" s="34" t="s">
        <v>115</v>
      </c>
      <c r="E22" s="35">
        <v>902003533701</v>
      </c>
      <c r="F22" s="20" t="s">
        <v>15</v>
      </c>
      <c r="G22" s="50">
        <v>1553016171</v>
      </c>
      <c r="H22" s="52" t="s">
        <v>69</v>
      </c>
      <c r="I22" s="25" t="s">
        <v>24</v>
      </c>
      <c r="J22" s="39">
        <v>11.72</v>
      </c>
      <c r="K22" s="19">
        <v>109</v>
      </c>
      <c r="L22" s="39">
        <f t="shared" si="4"/>
        <v>1277.48</v>
      </c>
      <c r="M22" s="24">
        <v>45637</v>
      </c>
      <c r="N22" s="24">
        <v>45905</v>
      </c>
      <c r="O22" s="20">
        <v>1680</v>
      </c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spans="1:31" s="26" customFormat="1" ht="24.6" customHeight="1" x14ac:dyDescent="0.35">
      <c r="A23" s="33">
        <v>16</v>
      </c>
      <c r="B23" s="33" t="s">
        <v>117</v>
      </c>
      <c r="C23" s="33" t="s">
        <v>118</v>
      </c>
      <c r="D23" s="32">
        <v>35054</v>
      </c>
      <c r="E23" s="37">
        <v>182080885001</v>
      </c>
      <c r="F23" s="28" t="s">
        <v>119</v>
      </c>
      <c r="G23" s="28">
        <v>1553060803</v>
      </c>
      <c r="H23" s="33" t="s">
        <v>68</v>
      </c>
      <c r="I23" s="27" t="s">
        <v>12</v>
      </c>
      <c r="J23" s="40">
        <v>5.68</v>
      </c>
      <c r="K23" s="27">
        <v>107</v>
      </c>
      <c r="L23" s="40">
        <f t="shared" si="4"/>
        <v>607.76</v>
      </c>
      <c r="M23" s="32">
        <v>45663</v>
      </c>
      <c r="N23" s="32">
        <v>45888</v>
      </c>
      <c r="O23" s="28">
        <v>360</v>
      </c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</row>
    <row r="24" spans="1:31" s="26" customFormat="1" ht="24.6" customHeight="1" x14ac:dyDescent="0.35">
      <c r="A24" s="25">
        <v>17</v>
      </c>
      <c r="B24" s="25" t="s">
        <v>199</v>
      </c>
      <c r="C24" s="25" t="s">
        <v>121</v>
      </c>
      <c r="D24" s="24">
        <v>37794</v>
      </c>
      <c r="E24" s="34" t="s">
        <v>122</v>
      </c>
      <c r="F24" s="25" t="s">
        <v>123</v>
      </c>
      <c r="G24" s="20">
        <v>1553065442</v>
      </c>
      <c r="H24" s="20" t="s">
        <v>73</v>
      </c>
      <c r="I24" s="68" t="s">
        <v>38</v>
      </c>
      <c r="J24" s="39">
        <v>8.43</v>
      </c>
      <c r="K24" s="19">
        <v>116</v>
      </c>
      <c r="L24" s="39">
        <f t="shared" si="4"/>
        <v>977.88</v>
      </c>
      <c r="M24" s="24">
        <v>45683</v>
      </c>
      <c r="N24" s="24">
        <v>45978</v>
      </c>
      <c r="O24" s="20">
        <v>4944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  <row r="25" spans="1:31" s="26" customFormat="1" ht="24.6" customHeight="1" x14ac:dyDescent="0.35">
      <c r="A25" s="33">
        <v>18</v>
      </c>
      <c r="B25" s="28" t="s">
        <v>135</v>
      </c>
      <c r="C25" s="70" t="s">
        <v>136</v>
      </c>
      <c r="D25" s="29" t="s">
        <v>137</v>
      </c>
      <c r="E25" s="30">
        <v>122083147901</v>
      </c>
      <c r="F25" s="28" t="s">
        <v>15</v>
      </c>
      <c r="G25" s="28">
        <v>1553067218</v>
      </c>
      <c r="H25" s="28" t="s">
        <v>68</v>
      </c>
      <c r="I25" s="27" t="s">
        <v>12</v>
      </c>
      <c r="J25" s="40">
        <v>5.68</v>
      </c>
      <c r="K25" s="27">
        <v>0</v>
      </c>
      <c r="L25" s="40">
        <f t="shared" si="4"/>
        <v>0</v>
      </c>
      <c r="M25" s="32">
        <v>45690</v>
      </c>
      <c r="N25" s="32">
        <v>45756</v>
      </c>
      <c r="O25" s="28">
        <v>288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</row>
    <row r="26" spans="1:31" s="26" customFormat="1" ht="24.6" customHeight="1" x14ac:dyDescent="0.35">
      <c r="A26" s="25">
        <v>19</v>
      </c>
      <c r="B26" s="25" t="s">
        <v>138</v>
      </c>
      <c r="C26" s="25" t="s">
        <v>139</v>
      </c>
      <c r="D26" s="21" t="s">
        <v>140</v>
      </c>
      <c r="E26" s="35">
        <v>182000750901</v>
      </c>
      <c r="F26" s="25" t="s">
        <v>141</v>
      </c>
      <c r="G26" s="20">
        <v>1553109769</v>
      </c>
      <c r="H26" s="25" t="s">
        <v>73</v>
      </c>
      <c r="I26" s="19" t="s">
        <v>38</v>
      </c>
      <c r="J26" s="69">
        <v>8.43</v>
      </c>
      <c r="K26" s="19">
        <v>63</v>
      </c>
      <c r="L26" s="39">
        <f t="shared" si="4"/>
        <v>531.09</v>
      </c>
      <c r="M26" s="24">
        <v>45700</v>
      </c>
      <c r="N26" s="24">
        <v>46009</v>
      </c>
      <c r="O26" s="20">
        <v>5184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</row>
    <row r="27" spans="1:31" s="26" customFormat="1" ht="24.6" customHeight="1" x14ac:dyDescent="0.35">
      <c r="A27" s="33">
        <v>20</v>
      </c>
      <c r="B27" s="28" t="s">
        <v>164</v>
      </c>
      <c r="C27" s="33" t="s">
        <v>180</v>
      </c>
      <c r="D27" s="29" t="s">
        <v>181</v>
      </c>
      <c r="E27" s="30">
        <v>122081580601</v>
      </c>
      <c r="F27" s="30" t="s">
        <v>74</v>
      </c>
      <c r="G27" s="28">
        <v>1553108006</v>
      </c>
      <c r="H27" s="33" t="s">
        <v>69</v>
      </c>
      <c r="I27" s="33" t="s">
        <v>24</v>
      </c>
      <c r="J27" s="40">
        <v>11.72</v>
      </c>
      <c r="K27" s="27">
        <v>38</v>
      </c>
      <c r="L27" s="40">
        <f t="shared" si="4"/>
        <v>445.36</v>
      </c>
      <c r="M27" s="32">
        <v>45708</v>
      </c>
      <c r="N27" s="32">
        <v>45864</v>
      </c>
      <c r="O27" s="28">
        <v>1032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</row>
    <row r="28" spans="1:31" s="26" customFormat="1" ht="24.6" customHeight="1" x14ac:dyDescent="0.35">
      <c r="A28" s="25">
        <v>21</v>
      </c>
      <c r="B28" s="20" t="s">
        <v>183</v>
      </c>
      <c r="C28" s="25" t="s">
        <v>182</v>
      </c>
      <c r="D28" s="34" t="s">
        <v>187</v>
      </c>
      <c r="E28" s="22">
        <v>102080566601</v>
      </c>
      <c r="F28" s="22" t="s">
        <v>184</v>
      </c>
      <c r="G28" s="20">
        <v>1553159099</v>
      </c>
      <c r="H28" s="25" t="s">
        <v>188</v>
      </c>
      <c r="I28" s="19" t="s">
        <v>189</v>
      </c>
      <c r="J28" s="69">
        <v>11.18</v>
      </c>
      <c r="K28" s="19">
        <v>69</v>
      </c>
      <c r="L28" s="39">
        <f t="shared" si="4"/>
        <v>771.42</v>
      </c>
      <c r="M28" s="24">
        <v>45740</v>
      </c>
      <c r="N28" s="24">
        <v>46100</v>
      </c>
      <c r="O28" s="20">
        <v>5760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</row>
    <row r="29" spans="1:31" s="26" customFormat="1" ht="24.6" customHeight="1" x14ac:dyDescent="0.35">
      <c r="A29" s="25"/>
      <c r="B29" s="20"/>
      <c r="C29" s="25"/>
      <c r="D29" s="34"/>
      <c r="E29" s="25"/>
      <c r="F29" s="25"/>
      <c r="G29" s="25"/>
      <c r="H29" s="25"/>
      <c r="I29" s="19"/>
      <c r="J29" s="19"/>
      <c r="K29" s="19"/>
      <c r="L29" s="19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</row>
    <row r="30" spans="1:31" s="26" customFormat="1" ht="24.6" customHeight="1" x14ac:dyDescent="0.35">
      <c r="A30" s="25"/>
      <c r="B30" s="20"/>
      <c r="C30" s="25"/>
      <c r="D30" s="34"/>
      <c r="E30" s="25"/>
      <c r="F30" s="25"/>
      <c r="G30" s="25"/>
      <c r="H30" s="25"/>
      <c r="I30" s="19"/>
      <c r="J30" s="19"/>
      <c r="K30" s="19"/>
      <c r="L30" s="19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</row>
    <row r="31" spans="1:31" s="26" customFormat="1" ht="24.6" customHeight="1" x14ac:dyDescent="0.35">
      <c r="A31" s="25"/>
      <c r="B31" s="20"/>
      <c r="C31" s="25"/>
      <c r="D31" s="34"/>
      <c r="E31" s="25"/>
      <c r="F31" s="25"/>
      <c r="G31" s="25"/>
      <c r="H31" s="25"/>
      <c r="I31" s="19"/>
      <c r="J31" s="19"/>
      <c r="K31" s="19"/>
      <c r="L31" s="19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</row>
    <row r="32" spans="1:31" s="26" customFormat="1" ht="24.6" customHeight="1" x14ac:dyDescent="0.35">
      <c r="A32" s="25"/>
      <c r="B32" s="20"/>
      <c r="C32" s="25"/>
      <c r="D32" s="34"/>
      <c r="E32" s="25"/>
      <c r="F32" s="25"/>
      <c r="G32" s="25"/>
      <c r="H32" s="25"/>
      <c r="I32" s="19"/>
      <c r="J32" s="19"/>
      <c r="K32" s="19"/>
      <c r="L32" s="19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</row>
    <row r="33" spans="1:31" s="26" customFormat="1" ht="24.6" customHeight="1" x14ac:dyDescent="0.35">
      <c r="A33" s="25"/>
      <c r="B33" s="20"/>
      <c r="C33" s="25"/>
      <c r="D33" s="34"/>
      <c r="E33" s="25"/>
      <c r="F33" s="25"/>
      <c r="G33" s="25"/>
      <c r="H33" s="25"/>
      <c r="I33" s="19"/>
      <c r="J33" s="19"/>
      <c r="K33" s="19"/>
      <c r="L33" s="19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</row>
    <row r="34" spans="1:31" s="26" customFormat="1" ht="24.6" customHeight="1" x14ac:dyDescent="0.35">
      <c r="A34" s="25"/>
      <c r="B34" s="20"/>
      <c r="C34" s="25"/>
      <c r="D34" s="34"/>
      <c r="E34" s="25"/>
      <c r="F34" s="25"/>
      <c r="G34" s="25"/>
      <c r="H34" s="25"/>
      <c r="I34" s="19"/>
      <c r="J34" s="19"/>
      <c r="K34" s="19"/>
      <c r="L34" s="19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</row>
    <row r="35" spans="1:31" s="26" customFormat="1" ht="24.6" customHeight="1" x14ac:dyDescent="0.35">
      <c r="A35" s="25"/>
      <c r="B35" s="20"/>
      <c r="C35" s="25"/>
      <c r="D35" s="34"/>
      <c r="E35" s="25"/>
      <c r="F35" s="25"/>
      <c r="G35" s="25"/>
      <c r="H35" s="25"/>
      <c r="I35" s="19"/>
      <c r="J35" s="19"/>
      <c r="K35" s="19"/>
      <c r="L35" s="49">
        <f>SUM(L7:L34)</f>
        <v>16865.68</v>
      </c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</row>
    <row r="36" spans="1:31" ht="18" x14ac:dyDescent="0.35">
      <c r="B36" s="50"/>
    </row>
    <row r="37" spans="1:31" ht="18" x14ac:dyDescent="0.35">
      <c r="B37" s="50"/>
    </row>
    <row r="38" spans="1:31" ht="18" x14ac:dyDescent="0.35">
      <c r="B38" s="50"/>
    </row>
    <row r="39" spans="1:31" ht="18" x14ac:dyDescent="0.35">
      <c r="B39" s="50"/>
    </row>
    <row r="40" spans="1:31" ht="18" x14ac:dyDescent="0.35">
      <c r="B40" s="50"/>
    </row>
    <row r="41" spans="1:31" ht="18" x14ac:dyDescent="0.35">
      <c r="B41" s="50"/>
    </row>
    <row r="42" spans="1:31" ht="18" x14ac:dyDescent="0.35">
      <c r="B42" s="50"/>
    </row>
    <row r="43" spans="1:31" ht="18" x14ac:dyDescent="0.35">
      <c r="B43" s="50"/>
    </row>
    <row r="44" spans="1:31" ht="18" x14ac:dyDescent="0.35">
      <c r="B44" s="26"/>
    </row>
    <row r="45" spans="1:31" ht="18" x14ac:dyDescent="0.35">
      <c r="B45" s="26"/>
    </row>
    <row r="46" spans="1:31" ht="18" x14ac:dyDescent="0.35">
      <c r="B46" s="50"/>
    </row>
    <row r="47" spans="1:31" ht="18" x14ac:dyDescent="0.35">
      <c r="B47" s="26"/>
    </row>
    <row r="48" spans="1:31" ht="18" x14ac:dyDescent="0.35">
      <c r="B48" s="26"/>
    </row>
    <row r="49" spans="2:2" ht="18" x14ac:dyDescent="0.35">
      <c r="B49" s="26"/>
    </row>
    <row r="50" spans="2:2" ht="18" x14ac:dyDescent="0.35">
      <c r="B50" s="26"/>
    </row>
    <row r="51" spans="2:2" ht="18" x14ac:dyDescent="0.35">
      <c r="B51" s="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B001-099B-4F76-974B-21F3B7FBB6F3}">
  <dimension ref="A4:D37"/>
  <sheetViews>
    <sheetView topLeftCell="A28" workbookViewId="0">
      <selection activeCell="D21" sqref="D21"/>
    </sheetView>
  </sheetViews>
  <sheetFormatPr defaultRowHeight="14.4" x14ac:dyDescent="0.3"/>
  <cols>
    <col min="1" max="1" width="4" bestFit="1" customWidth="1"/>
    <col min="2" max="2" width="17.44140625" customWidth="1"/>
    <col min="3" max="3" width="14.44140625" bestFit="1" customWidth="1"/>
    <col min="4" max="4" width="52.33203125" customWidth="1"/>
  </cols>
  <sheetData>
    <row r="4" spans="1:4" ht="18" x14ac:dyDescent="0.35">
      <c r="A4" s="43" t="s">
        <v>5</v>
      </c>
      <c r="B4" s="44" t="s">
        <v>178</v>
      </c>
      <c r="C4" s="44" t="s">
        <v>179</v>
      </c>
      <c r="D4" s="76" t="s">
        <v>160</v>
      </c>
    </row>
    <row r="5" spans="1:4" ht="28.2" customHeight="1" x14ac:dyDescent="0.35">
      <c r="A5" s="19">
        <v>1</v>
      </c>
      <c r="B5" s="20" t="s">
        <v>10</v>
      </c>
      <c r="C5" s="72" t="s">
        <v>9</v>
      </c>
      <c r="D5" s="77" t="s">
        <v>143</v>
      </c>
    </row>
    <row r="6" spans="1:4" ht="28.2" customHeight="1" x14ac:dyDescent="0.35">
      <c r="A6" s="27">
        <v>2</v>
      </c>
      <c r="B6" s="28" t="s">
        <v>14</v>
      </c>
      <c r="C6" s="73" t="s">
        <v>13</v>
      </c>
      <c r="D6" s="38" t="s">
        <v>142</v>
      </c>
    </row>
    <row r="7" spans="1:4" ht="28.2" customHeight="1" x14ac:dyDescent="0.35">
      <c r="A7" s="19">
        <v>3</v>
      </c>
      <c r="B7" s="20" t="s">
        <v>19</v>
      </c>
      <c r="C7" s="72" t="s">
        <v>18</v>
      </c>
      <c r="D7" s="5" t="s">
        <v>144</v>
      </c>
    </row>
    <row r="8" spans="1:4" ht="28.2" customHeight="1" x14ac:dyDescent="0.35">
      <c r="A8" s="27">
        <v>4</v>
      </c>
      <c r="B8" s="28" t="s">
        <v>22</v>
      </c>
      <c r="C8" s="73" t="s">
        <v>21</v>
      </c>
      <c r="D8" s="38" t="s">
        <v>145</v>
      </c>
    </row>
    <row r="9" spans="1:4" ht="28.2" customHeight="1" x14ac:dyDescent="0.35">
      <c r="A9" s="19">
        <v>5</v>
      </c>
      <c r="B9" s="20" t="s">
        <v>26</v>
      </c>
      <c r="C9" s="72" t="s">
        <v>25</v>
      </c>
      <c r="D9" s="5" t="s">
        <v>146</v>
      </c>
    </row>
    <row r="10" spans="1:4" ht="31.8" customHeight="1" x14ac:dyDescent="0.35">
      <c r="A10" s="27">
        <v>6</v>
      </c>
      <c r="B10" s="28" t="s">
        <v>76</v>
      </c>
      <c r="C10" s="73" t="s">
        <v>29</v>
      </c>
      <c r="D10" s="78" t="s">
        <v>147</v>
      </c>
    </row>
    <row r="11" spans="1:4" ht="28.2" customHeight="1" x14ac:dyDescent="0.35">
      <c r="A11" s="19">
        <v>7</v>
      </c>
      <c r="B11" s="20" t="s">
        <v>33</v>
      </c>
      <c r="C11" s="72" t="s">
        <v>32</v>
      </c>
      <c r="D11" s="5" t="s">
        <v>148</v>
      </c>
    </row>
    <row r="12" spans="1:4" ht="28.2" customHeight="1" x14ac:dyDescent="0.35">
      <c r="A12" s="27">
        <v>8</v>
      </c>
      <c r="B12" s="28" t="s">
        <v>36</v>
      </c>
      <c r="C12" s="73" t="s">
        <v>35</v>
      </c>
      <c r="D12" s="38" t="s">
        <v>149</v>
      </c>
    </row>
    <row r="13" spans="1:4" ht="28.2" customHeight="1" x14ac:dyDescent="0.35">
      <c r="A13" s="19">
        <v>9</v>
      </c>
      <c r="B13" s="20" t="s">
        <v>40</v>
      </c>
      <c r="C13" s="72" t="s">
        <v>39</v>
      </c>
      <c r="D13" s="5" t="s">
        <v>150</v>
      </c>
    </row>
    <row r="14" spans="1:4" ht="28.2" customHeight="1" x14ac:dyDescent="0.35">
      <c r="A14" s="27">
        <v>10</v>
      </c>
      <c r="B14" s="28" t="s">
        <v>43</v>
      </c>
      <c r="C14" s="73" t="s">
        <v>42</v>
      </c>
      <c r="D14" s="38" t="s">
        <v>151</v>
      </c>
    </row>
    <row r="15" spans="1:4" ht="28.2" customHeight="1" x14ac:dyDescent="0.35">
      <c r="A15" s="19">
        <v>11</v>
      </c>
      <c r="B15" s="25" t="s">
        <v>8</v>
      </c>
      <c r="C15" s="74" t="s">
        <v>7</v>
      </c>
      <c r="D15" s="5" t="s">
        <v>152</v>
      </c>
    </row>
    <row r="16" spans="1:4" ht="28.2" customHeight="1" x14ac:dyDescent="0.35">
      <c r="A16" s="27">
        <v>12</v>
      </c>
      <c r="B16" s="33" t="s">
        <v>101</v>
      </c>
      <c r="C16" s="75" t="s">
        <v>31</v>
      </c>
      <c r="D16" s="38" t="s">
        <v>153</v>
      </c>
    </row>
    <row r="17" spans="1:4" ht="28.2" customHeight="1" x14ac:dyDescent="0.35">
      <c r="A17" s="19">
        <v>13</v>
      </c>
      <c r="B17" s="20" t="s">
        <v>103</v>
      </c>
      <c r="C17" s="72" t="s">
        <v>104</v>
      </c>
      <c r="D17" s="5" t="s">
        <v>154</v>
      </c>
    </row>
    <row r="18" spans="1:4" ht="28.2" customHeight="1" x14ac:dyDescent="0.35">
      <c r="A18" s="33">
        <v>14</v>
      </c>
      <c r="B18" s="33" t="s">
        <v>111</v>
      </c>
      <c r="C18" s="75" t="s">
        <v>108</v>
      </c>
      <c r="D18" s="38" t="s">
        <v>155</v>
      </c>
    </row>
    <row r="19" spans="1:4" ht="28.2" customHeight="1" x14ac:dyDescent="0.35">
      <c r="A19" s="25">
        <v>15</v>
      </c>
      <c r="B19" s="25" t="s">
        <v>114</v>
      </c>
      <c r="C19" s="74" t="s">
        <v>113</v>
      </c>
      <c r="D19" s="5" t="s">
        <v>156</v>
      </c>
    </row>
    <row r="20" spans="1:4" ht="28.2" customHeight="1" x14ac:dyDescent="0.35">
      <c r="A20" s="33">
        <v>16</v>
      </c>
      <c r="B20" s="33" t="s">
        <v>117</v>
      </c>
      <c r="C20" s="75" t="s">
        <v>118</v>
      </c>
      <c r="D20" s="38" t="s">
        <v>157</v>
      </c>
    </row>
    <row r="21" spans="1:4" ht="28.2" customHeight="1" x14ac:dyDescent="0.35">
      <c r="A21" s="25">
        <v>17</v>
      </c>
      <c r="B21" s="25" t="s">
        <v>120</v>
      </c>
      <c r="C21" s="74" t="s">
        <v>121</v>
      </c>
      <c r="D21" s="5" t="s">
        <v>197</v>
      </c>
    </row>
    <row r="22" spans="1:4" ht="28.2" customHeight="1" x14ac:dyDescent="0.35">
      <c r="A22" s="33">
        <v>18</v>
      </c>
      <c r="B22" s="28" t="s">
        <v>135</v>
      </c>
      <c r="C22" s="70" t="s">
        <v>136</v>
      </c>
      <c r="D22" s="38" t="s">
        <v>158</v>
      </c>
    </row>
    <row r="23" spans="1:4" ht="28.2" customHeight="1" x14ac:dyDescent="0.35">
      <c r="A23" s="25">
        <v>19</v>
      </c>
      <c r="B23" s="25" t="s">
        <v>138</v>
      </c>
      <c r="C23" s="74" t="s">
        <v>139</v>
      </c>
      <c r="D23" s="5" t="s">
        <v>159</v>
      </c>
    </row>
    <row r="24" spans="1:4" ht="28.8" customHeight="1" x14ac:dyDescent="0.35">
      <c r="A24" s="33">
        <v>20</v>
      </c>
      <c r="B24" s="33" t="s">
        <v>161</v>
      </c>
      <c r="C24" s="33" t="s">
        <v>162</v>
      </c>
      <c r="D24" s="38" t="s">
        <v>163</v>
      </c>
    </row>
    <row r="25" spans="1:4" ht="28.8" customHeight="1" x14ac:dyDescent="0.35">
      <c r="A25" s="25">
        <v>21</v>
      </c>
      <c r="B25" s="25" t="s">
        <v>164</v>
      </c>
      <c r="C25" s="25" t="s">
        <v>165</v>
      </c>
      <c r="D25" s="5" t="s">
        <v>166</v>
      </c>
    </row>
    <row r="26" spans="1:4" ht="21" customHeight="1" x14ac:dyDescent="0.35">
      <c r="A26" s="43" t="s">
        <v>5</v>
      </c>
      <c r="B26" s="44" t="s">
        <v>178</v>
      </c>
      <c r="C26" s="44" t="s">
        <v>179</v>
      </c>
      <c r="D26" s="76" t="s">
        <v>160</v>
      </c>
    </row>
    <row r="27" spans="1:4" ht="28.8" customHeight="1" x14ac:dyDescent="0.35">
      <c r="A27" s="33">
        <v>22</v>
      </c>
      <c r="B27" s="33" t="s">
        <v>130</v>
      </c>
      <c r="C27" s="33" t="s">
        <v>167</v>
      </c>
      <c r="D27" s="38" t="s">
        <v>168</v>
      </c>
    </row>
    <row r="28" spans="1:4" ht="28.8" customHeight="1" x14ac:dyDescent="0.35">
      <c r="A28" s="25">
        <v>23</v>
      </c>
      <c r="B28" s="25" t="s">
        <v>129</v>
      </c>
      <c r="C28" s="25" t="s">
        <v>169</v>
      </c>
      <c r="D28" s="5" t="s">
        <v>170</v>
      </c>
    </row>
    <row r="29" spans="1:4" ht="28.8" customHeight="1" x14ac:dyDescent="0.35">
      <c r="A29" s="33">
        <v>24</v>
      </c>
      <c r="B29" s="33" t="s">
        <v>125</v>
      </c>
      <c r="C29" s="33" t="s">
        <v>171</v>
      </c>
      <c r="D29" s="38" t="s">
        <v>172</v>
      </c>
    </row>
    <row r="30" spans="1:4" ht="28.8" customHeight="1" x14ac:dyDescent="0.35">
      <c r="A30" s="25">
        <v>25</v>
      </c>
      <c r="B30" s="25" t="s">
        <v>127</v>
      </c>
      <c r="C30" s="25" t="s">
        <v>173</v>
      </c>
      <c r="D30" s="5" t="s">
        <v>174</v>
      </c>
    </row>
    <row r="31" spans="1:4" ht="28.8" customHeight="1" x14ac:dyDescent="0.35">
      <c r="A31" s="33">
        <v>26</v>
      </c>
      <c r="B31" s="33" t="s">
        <v>175</v>
      </c>
      <c r="C31" s="33" t="s">
        <v>176</v>
      </c>
      <c r="D31" s="38" t="s">
        <v>177</v>
      </c>
    </row>
    <row r="32" spans="1:4" ht="28.8" customHeight="1" x14ac:dyDescent="0.35">
      <c r="A32" s="25">
        <v>27</v>
      </c>
      <c r="B32" s="20" t="s">
        <v>164</v>
      </c>
      <c r="C32" s="25" t="s">
        <v>180</v>
      </c>
      <c r="D32" s="5" t="s">
        <v>166</v>
      </c>
    </row>
    <row r="33" spans="1:4" ht="28.8" customHeight="1" x14ac:dyDescent="0.35">
      <c r="A33" s="33">
        <v>28</v>
      </c>
      <c r="B33" s="28" t="s">
        <v>183</v>
      </c>
      <c r="C33" s="33" t="s">
        <v>182</v>
      </c>
      <c r="D33" s="38" t="s">
        <v>186</v>
      </c>
    </row>
    <row r="34" spans="1:4" ht="28.8" customHeight="1" x14ac:dyDescent="0.35">
      <c r="A34" s="25">
        <v>29</v>
      </c>
      <c r="B34" s="25"/>
      <c r="C34" s="25"/>
      <c r="D34" s="25"/>
    </row>
    <row r="35" spans="1:4" ht="28.8" customHeight="1" x14ac:dyDescent="0.35">
      <c r="A35" s="33">
        <v>30</v>
      </c>
      <c r="B35" s="25"/>
      <c r="C35" s="25"/>
      <c r="D35" s="25"/>
    </row>
    <row r="36" spans="1:4" ht="28.8" customHeight="1" x14ac:dyDescent="0.35">
      <c r="A36" s="25">
        <v>31</v>
      </c>
      <c r="B36" s="25"/>
      <c r="C36" s="25"/>
      <c r="D36" s="25"/>
    </row>
    <row r="37" spans="1:4" ht="28.8" customHeight="1" x14ac:dyDescent="0.3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0A44-9229-460F-9D5F-869BA9C6A4E1}">
  <dimension ref="A6:AE29"/>
  <sheetViews>
    <sheetView workbookViewId="0">
      <selection activeCell="B7" sqref="B7"/>
    </sheetView>
  </sheetViews>
  <sheetFormatPr defaultRowHeight="14.4" x14ac:dyDescent="0.3"/>
  <cols>
    <col min="1" max="1" width="4.88671875" customWidth="1"/>
    <col min="2" max="2" width="27.6640625" bestFit="1" customWidth="1"/>
    <col min="3" max="3" width="25.44140625" bestFit="1" customWidth="1"/>
    <col min="4" max="4" width="26" bestFit="1" customWidth="1"/>
    <col min="5" max="5" width="18.77734375" bestFit="1" customWidth="1"/>
    <col min="6" max="6" width="24.33203125" bestFit="1" customWidth="1"/>
    <col min="7" max="7" width="16.33203125" bestFit="1" customWidth="1"/>
    <col min="8" max="8" width="28.33203125" bestFit="1" customWidth="1"/>
    <col min="9" max="9" width="17.5546875" customWidth="1"/>
    <col min="10" max="10" width="9.109375" bestFit="1" customWidth="1"/>
    <col min="11" max="11" width="7.33203125" bestFit="1" customWidth="1"/>
    <col min="12" max="12" width="13.109375" bestFit="1" customWidth="1"/>
    <col min="13" max="13" width="22.77734375" bestFit="1" customWidth="1"/>
    <col min="14" max="14" width="20.77734375" bestFit="1" customWidth="1"/>
    <col min="15" max="15" width="7.33203125" bestFit="1" customWidth="1"/>
  </cols>
  <sheetData>
    <row r="6" spans="1:31" ht="27.6" customHeight="1" x14ac:dyDescent="0.3">
      <c r="A6" s="43" t="s">
        <v>5</v>
      </c>
      <c r="B6" s="44" t="s">
        <v>0</v>
      </c>
      <c r="C6" s="44" t="s">
        <v>126</v>
      </c>
      <c r="D6" s="44" t="s">
        <v>1</v>
      </c>
      <c r="E6" s="44" t="s">
        <v>64</v>
      </c>
      <c r="F6" s="44" t="s">
        <v>4</v>
      </c>
      <c r="G6" s="44" t="s">
        <v>65</v>
      </c>
      <c r="H6" s="44" t="s">
        <v>67</v>
      </c>
      <c r="I6" s="45" t="s">
        <v>11</v>
      </c>
      <c r="J6" s="44" t="s">
        <v>61</v>
      </c>
      <c r="K6" s="44" t="s">
        <v>45</v>
      </c>
      <c r="L6" s="44" t="s">
        <v>106</v>
      </c>
      <c r="M6" s="43" t="s">
        <v>2</v>
      </c>
      <c r="N6" s="43" t="s">
        <v>3</v>
      </c>
      <c r="O6" s="44" t="s">
        <v>45</v>
      </c>
      <c r="P6" s="54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</row>
    <row r="7" spans="1:31" ht="18" x14ac:dyDescent="0.35">
      <c r="A7" s="60">
        <v>1</v>
      </c>
      <c r="B7" s="67" t="s">
        <v>101</v>
      </c>
      <c r="C7" s="25" t="s">
        <v>31</v>
      </c>
      <c r="D7" s="34" t="s">
        <v>102</v>
      </c>
      <c r="E7" s="35">
        <v>182081013101</v>
      </c>
      <c r="F7" s="25" t="s">
        <v>107</v>
      </c>
      <c r="G7" s="20">
        <v>1552970181</v>
      </c>
      <c r="H7" s="25" t="s">
        <v>132</v>
      </c>
      <c r="I7" s="19" t="s">
        <v>133</v>
      </c>
      <c r="J7" s="39">
        <v>9.61</v>
      </c>
      <c r="K7" s="19"/>
      <c r="L7" s="56">
        <f t="shared" ref="L7" si="0">J7*K7</f>
        <v>0</v>
      </c>
      <c r="M7" s="24">
        <v>45608</v>
      </c>
      <c r="N7" s="24">
        <v>45972</v>
      </c>
      <c r="O7" s="20">
        <v>2220</v>
      </c>
    </row>
    <row r="8" spans="1:31" ht="18" x14ac:dyDescent="0.35">
      <c r="A8" s="61">
        <v>2</v>
      </c>
      <c r="B8" s="64" t="s">
        <v>127</v>
      </c>
      <c r="C8" s="33"/>
      <c r="D8" s="36"/>
      <c r="E8" s="37"/>
      <c r="F8" s="33"/>
      <c r="G8" s="28"/>
      <c r="H8" s="33"/>
      <c r="I8" s="27"/>
      <c r="J8" s="40"/>
      <c r="K8" s="27"/>
      <c r="L8" s="41">
        <f t="shared" ref="L8:L13" si="1">J8*K8</f>
        <v>0</v>
      </c>
      <c r="M8" s="32"/>
      <c r="N8" s="32"/>
      <c r="O8" s="28"/>
    </row>
    <row r="9" spans="1:31" ht="18" x14ac:dyDescent="0.35">
      <c r="A9" s="60">
        <v>3</v>
      </c>
      <c r="B9" s="65" t="s">
        <v>125</v>
      </c>
      <c r="C9" s="20"/>
      <c r="D9" s="21"/>
      <c r="E9" s="21"/>
      <c r="F9" s="21"/>
      <c r="G9" s="21"/>
      <c r="H9" s="22"/>
      <c r="I9" s="19"/>
      <c r="J9" s="23"/>
      <c r="K9" s="19"/>
      <c r="L9" s="39">
        <f t="shared" si="1"/>
        <v>0</v>
      </c>
      <c r="M9" s="24"/>
      <c r="N9" s="24"/>
      <c r="O9" s="20"/>
    </row>
    <row r="10" spans="1:31" ht="18" x14ac:dyDescent="0.35">
      <c r="A10" s="61">
        <v>4</v>
      </c>
      <c r="B10" s="28" t="s">
        <v>128</v>
      </c>
      <c r="C10" s="28"/>
      <c r="D10" s="29"/>
      <c r="E10" s="29"/>
      <c r="F10" s="29"/>
      <c r="G10" s="29"/>
      <c r="H10" s="30"/>
      <c r="I10" s="27"/>
      <c r="J10" s="31"/>
      <c r="K10" s="27"/>
      <c r="L10" s="40">
        <f t="shared" si="1"/>
        <v>0</v>
      </c>
      <c r="M10" s="32"/>
      <c r="N10" s="32"/>
      <c r="O10" s="28"/>
    </row>
    <row r="11" spans="1:31" ht="18" x14ac:dyDescent="0.35">
      <c r="A11" s="60">
        <v>5</v>
      </c>
      <c r="B11" s="20" t="s">
        <v>129</v>
      </c>
      <c r="C11" s="20"/>
      <c r="D11" s="21"/>
      <c r="E11" s="21"/>
      <c r="F11" s="21"/>
      <c r="G11" s="21"/>
      <c r="H11" s="22"/>
      <c r="I11" s="19"/>
      <c r="J11" s="23"/>
      <c r="K11" s="19"/>
      <c r="L11" s="39">
        <f t="shared" si="1"/>
        <v>0</v>
      </c>
      <c r="M11" s="24"/>
      <c r="N11" s="24"/>
      <c r="O11" s="20"/>
    </row>
    <row r="12" spans="1:31" ht="18" x14ac:dyDescent="0.35">
      <c r="A12" s="61">
        <v>6</v>
      </c>
      <c r="B12" s="64" t="s">
        <v>130</v>
      </c>
      <c r="C12" s="33"/>
      <c r="D12" s="38"/>
      <c r="E12" s="38"/>
      <c r="F12" s="38"/>
      <c r="G12" s="38"/>
      <c r="H12" s="38"/>
      <c r="I12" s="38"/>
      <c r="J12" s="38"/>
      <c r="K12" s="38"/>
      <c r="L12" s="40">
        <f t="shared" si="1"/>
        <v>0</v>
      </c>
      <c r="M12" s="38"/>
      <c r="N12" s="38"/>
      <c r="O12" s="38"/>
    </row>
    <row r="13" spans="1:31" ht="18" x14ac:dyDescent="0.35">
      <c r="A13" s="60">
        <v>7</v>
      </c>
      <c r="B13" s="25" t="s">
        <v>131</v>
      </c>
      <c r="C13" s="66"/>
      <c r="D13" s="5"/>
      <c r="E13" s="5"/>
      <c r="F13" s="5"/>
      <c r="G13" s="5"/>
      <c r="H13" s="5"/>
      <c r="I13" s="5"/>
      <c r="J13" s="5"/>
      <c r="K13" s="5"/>
      <c r="L13" s="39">
        <f t="shared" si="1"/>
        <v>0</v>
      </c>
      <c r="M13" s="5"/>
      <c r="N13" s="5"/>
      <c r="O13" s="5"/>
    </row>
    <row r="14" spans="1:31" x14ac:dyDescent="0.3">
      <c r="A14" s="5"/>
      <c r="B14" s="57"/>
      <c r="C14" s="57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31" x14ac:dyDescent="0.3">
      <c r="A15" s="5"/>
      <c r="B15" s="58"/>
      <c r="C15" s="58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31" ht="15.6" x14ac:dyDescent="0.3">
      <c r="A16" s="5"/>
      <c r="B16" s="53"/>
      <c r="C16" s="53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6" x14ac:dyDescent="0.3">
      <c r="A17" s="5"/>
      <c r="B17" s="62"/>
      <c r="C17" s="57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6" x14ac:dyDescent="0.3">
      <c r="A18" s="5"/>
      <c r="B18" s="62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6" x14ac:dyDescent="0.3">
      <c r="A19" s="5"/>
      <c r="B19" s="63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6" x14ac:dyDescent="0.3">
      <c r="A20" s="5"/>
      <c r="B20" s="63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6" x14ac:dyDescent="0.3">
      <c r="A21" s="5"/>
      <c r="B21" s="62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6" x14ac:dyDescent="0.3">
      <c r="A22" s="5"/>
      <c r="B22" s="53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57E7-3BFA-48A9-BF7C-9A277985254C}">
  <dimension ref="A6:AE25"/>
  <sheetViews>
    <sheetView tabSelected="1" workbookViewId="0">
      <pane xSplit="3" ySplit="8" topLeftCell="E9" activePane="bottomRight" state="frozen"/>
      <selection pane="topRight" activeCell="D1" sqref="D1"/>
      <selection pane="bottomLeft" activeCell="A9" sqref="A9"/>
      <selection pane="bottomRight" activeCell="K9" sqref="K9"/>
    </sheetView>
  </sheetViews>
  <sheetFormatPr defaultRowHeight="14.4" x14ac:dyDescent="0.3"/>
  <cols>
    <col min="1" max="1" width="4.6640625" customWidth="1"/>
    <col min="2" max="2" width="27.6640625" bestFit="1" customWidth="1"/>
    <col min="3" max="3" width="25.44140625" bestFit="1" customWidth="1"/>
    <col min="4" max="4" width="26" bestFit="1" customWidth="1"/>
    <col min="5" max="5" width="18.77734375" bestFit="1" customWidth="1"/>
    <col min="6" max="6" width="20.44140625" bestFit="1" customWidth="1"/>
    <col min="7" max="7" width="16.33203125" bestFit="1" customWidth="1"/>
    <col min="8" max="8" width="28.33203125" bestFit="1" customWidth="1"/>
    <col min="9" max="9" width="29.6640625" bestFit="1" customWidth="1"/>
    <col min="10" max="10" width="9.6640625" bestFit="1" customWidth="1"/>
    <col min="11" max="11" width="7.44140625" bestFit="1" customWidth="1"/>
    <col min="12" max="12" width="13.33203125" bestFit="1" customWidth="1"/>
    <col min="13" max="13" width="22.77734375" bestFit="1" customWidth="1"/>
    <col min="14" max="14" width="20.77734375" bestFit="1" customWidth="1"/>
    <col min="15" max="15" width="8.21875" bestFit="1" customWidth="1"/>
  </cols>
  <sheetData>
    <row r="6" spans="1:31" ht="27.6" customHeight="1" x14ac:dyDescent="0.3">
      <c r="A6" s="43" t="s">
        <v>5</v>
      </c>
      <c r="B6" s="44" t="s">
        <v>6</v>
      </c>
      <c r="C6" s="44" t="s">
        <v>0</v>
      </c>
      <c r="D6" s="44" t="s">
        <v>1</v>
      </c>
      <c r="E6" s="44" t="s">
        <v>64</v>
      </c>
      <c r="F6" s="44" t="s">
        <v>4</v>
      </c>
      <c r="G6" s="44" t="s">
        <v>65</v>
      </c>
      <c r="H6" s="44" t="s">
        <v>67</v>
      </c>
      <c r="I6" s="45" t="s">
        <v>11</v>
      </c>
      <c r="J6" s="44" t="s">
        <v>61</v>
      </c>
      <c r="K6" s="44" t="s">
        <v>45</v>
      </c>
      <c r="L6" s="44" t="s">
        <v>106</v>
      </c>
      <c r="M6" s="43" t="s">
        <v>2</v>
      </c>
      <c r="N6" s="43" t="s">
        <v>3</v>
      </c>
      <c r="O6" s="44" t="s">
        <v>45</v>
      </c>
      <c r="P6" s="54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</row>
    <row r="7" spans="1:31" ht="18" x14ac:dyDescent="0.35">
      <c r="A7" s="19"/>
      <c r="B7" s="59" t="s">
        <v>125</v>
      </c>
      <c r="C7" s="20" t="s">
        <v>171</v>
      </c>
      <c r="D7" s="21" t="s">
        <v>194</v>
      </c>
      <c r="E7" s="21" t="s">
        <v>195</v>
      </c>
      <c r="F7" s="21" t="s">
        <v>196</v>
      </c>
      <c r="G7" s="79">
        <v>1552740145</v>
      </c>
      <c r="H7" s="22" t="s">
        <v>192</v>
      </c>
      <c r="I7" s="19" t="s">
        <v>17</v>
      </c>
      <c r="J7" s="23">
        <v>14.94</v>
      </c>
      <c r="K7" s="19"/>
      <c r="L7" s="39">
        <f t="shared" ref="L7:L9" si="0">J7*K7</f>
        <v>0</v>
      </c>
      <c r="M7" s="24">
        <v>45456</v>
      </c>
      <c r="N7" s="24">
        <v>45820</v>
      </c>
      <c r="O7" s="20">
        <v>4240</v>
      </c>
    </row>
    <row r="8" spans="1:31" ht="18" x14ac:dyDescent="0.35">
      <c r="A8" s="27"/>
      <c r="B8" s="28" t="s">
        <v>124</v>
      </c>
      <c r="C8" s="28" t="s">
        <v>13</v>
      </c>
      <c r="D8" s="29" t="s">
        <v>92</v>
      </c>
      <c r="E8" s="29" t="s">
        <v>16</v>
      </c>
      <c r="F8" s="29" t="s">
        <v>66</v>
      </c>
      <c r="G8" s="29" t="s">
        <v>193</v>
      </c>
      <c r="H8" s="30" t="s">
        <v>192</v>
      </c>
      <c r="I8" s="27" t="s">
        <v>17</v>
      </c>
      <c r="J8" s="40">
        <v>15</v>
      </c>
      <c r="K8" s="27">
        <v>50</v>
      </c>
      <c r="L8" s="40">
        <f t="shared" si="0"/>
        <v>750</v>
      </c>
      <c r="M8" s="32">
        <v>45494</v>
      </c>
      <c r="N8" s="32">
        <v>45803</v>
      </c>
      <c r="O8" s="28">
        <v>8740</v>
      </c>
    </row>
    <row r="9" spans="1:31" ht="18" x14ac:dyDescent="0.35">
      <c r="A9" s="19"/>
      <c r="B9" s="20" t="s">
        <v>76</v>
      </c>
      <c r="C9" s="20" t="s">
        <v>29</v>
      </c>
      <c r="D9" s="21" t="s">
        <v>89</v>
      </c>
      <c r="E9" s="21" t="s">
        <v>30</v>
      </c>
      <c r="F9" s="21" t="s">
        <v>190</v>
      </c>
      <c r="G9" s="21" t="s">
        <v>191</v>
      </c>
      <c r="H9" s="22" t="s">
        <v>192</v>
      </c>
      <c r="I9" s="19" t="s">
        <v>17</v>
      </c>
      <c r="J9" s="39">
        <v>15</v>
      </c>
      <c r="K9" s="19">
        <v>69</v>
      </c>
      <c r="L9" s="39">
        <f t="shared" si="0"/>
        <v>1035</v>
      </c>
      <c r="M9" s="24">
        <v>45620</v>
      </c>
      <c r="N9" s="24">
        <v>45984</v>
      </c>
      <c r="O9" s="20">
        <v>28800</v>
      </c>
    </row>
    <row r="10" spans="1:31" ht="18" x14ac:dyDescent="0.35">
      <c r="A10" s="1"/>
      <c r="B10" s="20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31" x14ac:dyDescent="0.3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31" x14ac:dyDescent="0.3">
      <c r="A12" s="1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31" x14ac:dyDescent="0.3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31" x14ac:dyDescent="0.3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31" x14ac:dyDescent="0.3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31" x14ac:dyDescent="0.3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3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3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3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3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3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3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3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3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3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E359-AA3C-445F-9985-E0821CA10DC9}">
  <dimension ref="A6:O20"/>
  <sheetViews>
    <sheetView workbookViewId="0">
      <selection activeCell="D10" sqref="D10"/>
    </sheetView>
  </sheetViews>
  <sheetFormatPr defaultRowHeight="14.4" x14ac:dyDescent="0.3"/>
  <cols>
    <col min="1" max="1" width="3.6640625" bestFit="1" customWidth="1"/>
    <col min="2" max="2" width="27.6640625" bestFit="1" customWidth="1"/>
    <col min="3" max="3" width="25.44140625" bestFit="1" customWidth="1"/>
    <col min="4" max="4" width="26" bestFit="1" customWidth="1"/>
    <col min="5" max="5" width="18.77734375" bestFit="1" customWidth="1"/>
    <col min="6" max="6" width="24.33203125" bestFit="1" customWidth="1"/>
    <col min="7" max="7" width="16.33203125" bestFit="1" customWidth="1"/>
    <col min="8" max="8" width="28.33203125" customWidth="1"/>
    <col min="9" max="9" width="17.77734375" customWidth="1"/>
    <col min="10" max="10" width="7.77734375" bestFit="1" customWidth="1"/>
    <col min="11" max="11" width="7.33203125" bestFit="1" customWidth="1"/>
    <col min="12" max="12" width="9.6640625" bestFit="1" customWidth="1"/>
    <col min="13" max="13" width="22.77734375" bestFit="1" customWidth="1"/>
    <col min="14" max="14" width="20.77734375" bestFit="1" customWidth="1"/>
    <col min="15" max="15" width="7.33203125" bestFit="1" customWidth="1"/>
  </cols>
  <sheetData>
    <row r="6" spans="1:15" ht="15.6" x14ac:dyDescent="0.3">
      <c r="A6" s="43" t="s">
        <v>5</v>
      </c>
      <c r="B6" s="44" t="s">
        <v>0</v>
      </c>
      <c r="C6" s="44" t="s">
        <v>126</v>
      </c>
      <c r="D6" s="44" t="s">
        <v>1</v>
      </c>
      <c r="E6" s="44" t="s">
        <v>64</v>
      </c>
      <c r="F6" s="44" t="s">
        <v>4</v>
      </c>
      <c r="G6" s="44" t="s">
        <v>65</v>
      </c>
      <c r="H6" s="44" t="s">
        <v>67</v>
      </c>
      <c r="I6" s="45" t="s">
        <v>11</v>
      </c>
      <c r="J6" s="44" t="s">
        <v>61</v>
      </c>
      <c r="K6" s="44" t="s">
        <v>45</v>
      </c>
      <c r="L6" s="44" t="s">
        <v>106</v>
      </c>
      <c r="M6" s="43" t="s">
        <v>2</v>
      </c>
      <c r="N6" s="43" t="s">
        <v>3</v>
      </c>
      <c r="O6" s="44" t="s">
        <v>45</v>
      </c>
    </row>
    <row r="7" spans="1:15" ht="19.8" customHeight="1" x14ac:dyDescent="0.35">
      <c r="A7" s="19"/>
      <c r="B7" s="67" t="s">
        <v>101</v>
      </c>
      <c r="C7" s="25" t="s">
        <v>31</v>
      </c>
      <c r="D7" s="34" t="s">
        <v>102</v>
      </c>
      <c r="E7" s="35">
        <v>182081013101</v>
      </c>
      <c r="F7" s="25" t="s">
        <v>107</v>
      </c>
      <c r="G7" s="20">
        <v>1552970182</v>
      </c>
      <c r="H7" s="25" t="s">
        <v>132</v>
      </c>
      <c r="I7" s="19" t="s">
        <v>134</v>
      </c>
      <c r="J7" s="39">
        <v>7.22</v>
      </c>
      <c r="K7" s="19"/>
      <c r="L7" s="56">
        <f t="shared" ref="L7" si="0">J7*K7</f>
        <v>0</v>
      </c>
      <c r="M7" s="24">
        <v>45608</v>
      </c>
      <c r="N7" s="24">
        <v>45972</v>
      </c>
      <c r="O7" s="20">
        <v>1472</v>
      </c>
    </row>
    <row r="8" spans="1:15" ht="19.8" customHeight="1" x14ac:dyDescent="0.35">
      <c r="A8" s="5"/>
      <c r="B8" s="2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ht="19.8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19.8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19.8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19.8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19.8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ht="19.8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ht="19.8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ht="19.8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9.8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9.8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9.8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9.8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B10A-A75D-440B-8AC6-EFF428BC5A6F}">
  <dimension ref="A3:S26"/>
  <sheetViews>
    <sheetView workbookViewId="0">
      <pane xSplit="3" ySplit="4" topLeftCell="K5" activePane="bottomRight" state="frozen"/>
      <selection pane="topRight" activeCell="D1" sqref="D1"/>
      <selection pane="bottomLeft" activeCell="A5" sqref="A5"/>
      <selection pane="bottomRight" activeCell="M19" sqref="M19"/>
    </sheetView>
  </sheetViews>
  <sheetFormatPr defaultRowHeight="14.4" x14ac:dyDescent="0.3"/>
  <cols>
    <col min="1" max="1" width="6.109375" customWidth="1"/>
    <col min="2" max="2" width="18.5546875" customWidth="1"/>
    <col min="3" max="3" width="17.88671875" customWidth="1"/>
    <col min="4" max="6" width="14.88671875" bestFit="1" customWidth="1"/>
    <col min="7" max="7" width="20" customWidth="1"/>
    <col min="8" max="9" width="16.88671875" bestFit="1" customWidth="1"/>
    <col min="10" max="10" width="15.88671875" bestFit="1" customWidth="1"/>
    <col min="11" max="11" width="14.88671875" bestFit="1" customWidth="1"/>
    <col min="12" max="14" width="16.88671875" bestFit="1" customWidth="1"/>
    <col min="15" max="15" width="14.88671875" bestFit="1" customWidth="1"/>
    <col min="16" max="16" width="15.88671875" bestFit="1" customWidth="1"/>
    <col min="17" max="18" width="16.88671875" bestFit="1" customWidth="1"/>
    <col min="19" max="19" width="11.33203125" bestFit="1" customWidth="1"/>
  </cols>
  <sheetData>
    <row r="3" spans="1:19" ht="10.8" customHeight="1" x14ac:dyDescent="0.3"/>
    <row r="4" spans="1:19" hidden="1" x14ac:dyDescent="0.3"/>
    <row r="5" spans="1:19" ht="22.2" customHeight="1" x14ac:dyDescent="0.45">
      <c r="A5" s="8" t="s">
        <v>82</v>
      </c>
      <c r="B5" s="8"/>
      <c r="C5" s="9"/>
      <c r="D5" s="6" t="s">
        <v>46</v>
      </c>
      <c r="E5" s="7" t="s">
        <v>47</v>
      </c>
      <c r="F5" s="7" t="s">
        <v>48</v>
      </c>
      <c r="G5" s="7" t="s">
        <v>49</v>
      </c>
      <c r="H5" s="7" t="s">
        <v>50</v>
      </c>
      <c r="I5" s="7" t="s">
        <v>51</v>
      </c>
      <c r="J5" s="7" t="s">
        <v>52</v>
      </c>
      <c r="K5" s="7" t="s">
        <v>53</v>
      </c>
      <c r="L5" s="7" t="s">
        <v>54</v>
      </c>
      <c r="M5" s="7" t="s">
        <v>55</v>
      </c>
      <c r="N5" s="7" t="s">
        <v>56</v>
      </c>
      <c r="O5" s="7" t="s">
        <v>57</v>
      </c>
      <c r="P5" s="7" t="s">
        <v>58</v>
      </c>
      <c r="Q5" s="7" t="s">
        <v>59</v>
      </c>
      <c r="R5" s="7" t="s">
        <v>60</v>
      </c>
      <c r="S5" s="7" t="s">
        <v>83</v>
      </c>
    </row>
    <row r="6" spans="1:19" x14ac:dyDescent="0.3">
      <c r="A6" s="1">
        <v>1</v>
      </c>
      <c r="B6" s="2" t="s">
        <v>9</v>
      </c>
      <c r="C6" s="2" t="s">
        <v>10</v>
      </c>
      <c r="D6" s="11"/>
      <c r="E6" s="5"/>
      <c r="F6" s="5"/>
      <c r="G6" s="5" t="s">
        <v>99</v>
      </c>
      <c r="H6" s="18">
        <v>1188.5999999999999</v>
      </c>
      <c r="I6" s="14">
        <v>697.2</v>
      </c>
      <c r="J6" s="15">
        <v>681.6</v>
      </c>
      <c r="K6" s="14">
        <v>681.6</v>
      </c>
      <c r="L6" s="12">
        <v>545.28</v>
      </c>
      <c r="M6" s="12">
        <v>681.59999999999991</v>
      </c>
      <c r="N6" s="12">
        <v>545.28</v>
      </c>
      <c r="O6" s="5"/>
      <c r="P6" s="5"/>
      <c r="Q6" s="5"/>
      <c r="R6" s="5"/>
      <c r="S6" s="5"/>
    </row>
    <row r="7" spans="1:19" x14ac:dyDescent="0.3">
      <c r="A7" s="3">
        <v>2</v>
      </c>
      <c r="B7" s="4" t="s">
        <v>13</v>
      </c>
      <c r="C7" s="4" t="s">
        <v>14</v>
      </c>
      <c r="D7" s="5"/>
      <c r="E7" s="5"/>
      <c r="F7" s="5"/>
      <c r="G7" s="5"/>
      <c r="H7" s="12"/>
      <c r="I7" s="14">
        <v>1244.8</v>
      </c>
      <c r="J7" s="15">
        <v>1244.8</v>
      </c>
      <c r="K7" s="14">
        <v>1804.96</v>
      </c>
      <c r="L7" s="12">
        <v>1198.1199999999999</v>
      </c>
      <c r="M7" s="12">
        <v>1633.8</v>
      </c>
      <c r="N7" s="12">
        <v>1353.72</v>
      </c>
      <c r="O7" s="5"/>
      <c r="P7" s="5"/>
      <c r="Q7" s="5"/>
      <c r="R7" s="5"/>
      <c r="S7" s="5"/>
    </row>
    <row r="8" spans="1:19" x14ac:dyDescent="0.3">
      <c r="A8" s="1">
        <v>3</v>
      </c>
      <c r="B8" s="2" t="s">
        <v>18</v>
      </c>
      <c r="C8" s="2" t="s">
        <v>19</v>
      </c>
      <c r="D8" s="5"/>
      <c r="E8" s="5"/>
      <c r="F8" s="5"/>
      <c r="G8" s="16"/>
      <c r="H8" s="15">
        <v>1363.2</v>
      </c>
      <c r="I8" s="14">
        <v>681.6</v>
      </c>
      <c r="J8" s="15">
        <v>681.6</v>
      </c>
      <c r="K8" s="14">
        <v>681.6</v>
      </c>
      <c r="L8" s="12">
        <v>408.96</v>
      </c>
      <c r="M8" s="12">
        <v>408.96</v>
      </c>
      <c r="N8" s="12">
        <v>545.28</v>
      </c>
      <c r="O8" s="5"/>
      <c r="P8" s="5"/>
      <c r="Q8" s="5"/>
      <c r="R8" s="5"/>
      <c r="S8" s="5"/>
    </row>
    <row r="9" spans="1:19" x14ac:dyDescent="0.3">
      <c r="A9" s="3">
        <v>4</v>
      </c>
      <c r="B9" s="4" t="s">
        <v>21</v>
      </c>
      <c r="C9" s="4" t="s">
        <v>22</v>
      </c>
      <c r="D9" s="5"/>
      <c r="E9" s="5"/>
      <c r="F9" s="5"/>
      <c r="G9" s="5" t="s">
        <v>98</v>
      </c>
      <c r="H9" s="18">
        <v>2250.2399999999998</v>
      </c>
      <c r="I9" s="14">
        <v>1406.4</v>
      </c>
      <c r="J9" s="15">
        <v>1324.36</v>
      </c>
      <c r="K9" s="14">
        <v>1254.04</v>
      </c>
      <c r="L9" s="12">
        <v>1406.4</v>
      </c>
      <c r="M9" s="12">
        <v>1406.4</v>
      </c>
      <c r="N9" s="12">
        <v>1125.1199999999999</v>
      </c>
      <c r="O9" s="5"/>
      <c r="P9" s="5"/>
      <c r="Q9" s="5"/>
      <c r="R9" s="5"/>
      <c r="S9" s="5"/>
    </row>
    <row r="10" spans="1:19" x14ac:dyDescent="0.3">
      <c r="A10" s="1">
        <v>5</v>
      </c>
      <c r="B10" s="2" t="s">
        <v>25</v>
      </c>
      <c r="C10" s="2" t="s">
        <v>26</v>
      </c>
      <c r="D10" s="5"/>
      <c r="E10" s="5"/>
      <c r="F10" s="5"/>
      <c r="G10" s="5" t="s">
        <v>99</v>
      </c>
      <c r="H10" s="18">
        <v>1960.56</v>
      </c>
      <c r="I10" s="14">
        <v>743.52</v>
      </c>
      <c r="J10" s="15">
        <v>746.88</v>
      </c>
      <c r="K10" s="14">
        <v>1120.32</v>
      </c>
      <c r="L10" s="12">
        <v>746.88</v>
      </c>
      <c r="M10" s="12">
        <v>746.88</v>
      </c>
      <c r="N10" s="12">
        <v>1026.96</v>
      </c>
      <c r="O10" s="5"/>
      <c r="P10" s="5"/>
      <c r="Q10" s="5"/>
      <c r="R10" s="5"/>
      <c r="S10" s="5"/>
    </row>
    <row r="11" spans="1:19" x14ac:dyDescent="0.3">
      <c r="A11" s="3">
        <v>6</v>
      </c>
      <c r="B11" s="4" t="s">
        <v>29</v>
      </c>
      <c r="C11" s="4" t="s">
        <v>76</v>
      </c>
      <c r="D11" s="5"/>
      <c r="E11" s="5"/>
      <c r="F11" s="5"/>
      <c r="G11" s="5"/>
      <c r="H11" s="12"/>
      <c r="I11" s="14">
        <v>1858.8</v>
      </c>
      <c r="J11" s="13" t="s">
        <v>96</v>
      </c>
      <c r="K11" s="13" t="s">
        <v>96</v>
      </c>
      <c r="L11" s="13" t="s">
        <v>96</v>
      </c>
      <c r="M11" s="12">
        <v>1493.76</v>
      </c>
      <c r="N11" s="12">
        <v>1493.76</v>
      </c>
      <c r="O11" s="5"/>
      <c r="P11" s="5"/>
      <c r="Q11" s="5"/>
      <c r="R11" s="5"/>
      <c r="S11" s="5"/>
    </row>
    <row r="12" spans="1:19" x14ac:dyDescent="0.3">
      <c r="A12" s="1">
        <v>7</v>
      </c>
      <c r="B12" s="2" t="s">
        <v>32</v>
      </c>
      <c r="C12" s="2" t="s">
        <v>33</v>
      </c>
      <c r="D12" s="5"/>
      <c r="E12" s="5"/>
      <c r="F12" s="5"/>
      <c r="G12" s="5"/>
      <c r="H12" s="12"/>
      <c r="I12" s="14">
        <v>445.36</v>
      </c>
      <c r="J12" s="15">
        <v>562.55999999999995</v>
      </c>
      <c r="K12" s="14">
        <v>562.55999999999995</v>
      </c>
      <c r="L12" s="12">
        <v>562.55999999999995</v>
      </c>
      <c r="M12" s="12">
        <v>562.56000000000006</v>
      </c>
      <c r="N12" s="12">
        <v>281.27999999999997</v>
      </c>
      <c r="O12" s="5"/>
      <c r="P12" s="5"/>
      <c r="Q12" s="5"/>
      <c r="R12" s="5"/>
      <c r="S12" s="5"/>
    </row>
    <row r="13" spans="1:19" x14ac:dyDescent="0.3">
      <c r="A13" s="3">
        <v>8</v>
      </c>
      <c r="B13" s="4" t="s">
        <v>35</v>
      </c>
      <c r="C13" s="4" t="s">
        <v>36</v>
      </c>
      <c r="D13" s="5">
        <v>0</v>
      </c>
      <c r="E13" s="5"/>
      <c r="F13" s="5"/>
      <c r="G13" s="5"/>
      <c r="H13" s="17">
        <v>606.96</v>
      </c>
      <c r="I13" s="14">
        <v>606.96</v>
      </c>
      <c r="J13" s="15">
        <v>606.96</v>
      </c>
      <c r="K13" s="14">
        <v>606.96</v>
      </c>
      <c r="L13" s="12"/>
      <c r="M13" s="12">
        <v>606.96</v>
      </c>
      <c r="N13" s="12">
        <v>606.96</v>
      </c>
      <c r="O13" s="5"/>
      <c r="P13" s="5"/>
      <c r="Q13" s="5"/>
      <c r="R13" s="5"/>
      <c r="S13" s="5"/>
    </row>
    <row r="14" spans="1:19" x14ac:dyDescent="0.3">
      <c r="A14" s="1">
        <v>9</v>
      </c>
      <c r="B14" s="2" t="s">
        <v>39</v>
      </c>
      <c r="C14" s="2" t="s">
        <v>40</v>
      </c>
      <c r="D14" s="5"/>
      <c r="E14" s="5"/>
      <c r="F14" s="5"/>
      <c r="G14" s="5"/>
      <c r="H14" s="17">
        <v>746.88</v>
      </c>
      <c r="I14" s="14">
        <v>295.64</v>
      </c>
      <c r="J14" s="15">
        <v>746.88</v>
      </c>
      <c r="K14" s="14">
        <v>746.88</v>
      </c>
      <c r="L14" s="12">
        <v>746.88</v>
      </c>
      <c r="M14" s="12">
        <v>746.88</v>
      </c>
      <c r="N14" s="12">
        <v>746.88</v>
      </c>
      <c r="O14" s="5"/>
      <c r="P14" s="5"/>
      <c r="Q14" s="5"/>
      <c r="R14" s="5"/>
      <c r="S14" s="5"/>
    </row>
    <row r="15" spans="1:19" x14ac:dyDescent="0.3">
      <c r="A15" s="3">
        <v>10</v>
      </c>
      <c r="B15" s="4" t="s">
        <v>42</v>
      </c>
      <c r="C15" s="4" t="s">
        <v>43</v>
      </c>
      <c r="D15" s="5"/>
      <c r="E15" s="5"/>
      <c r="F15" s="5"/>
      <c r="G15" s="16"/>
      <c r="H15" s="15">
        <v>1483.68</v>
      </c>
      <c r="I15" s="14">
        <v>1006.8</v>
      </c>
      <c r="J15" s="15">
        <v>1011.6</v>
      </c>
      <c r="K15" s="14">
        <v>1011.6</v>
      </c>
      <c r="L15" s="12">
        <v>809.28</v>
      </c>
      <c r="M15" s="12">
        <v>1011.5999999999999</v>
      </c>
      <c r="N15" s="12">
        <v>404.64</v>
      </c>
      <c r="O15" s="5"/>
      <c r="P15" s="5"/>
      <c r="Q15" s="5"/>
      <c r="R15" s="5"/>
      <c r="S15" s="5"/>
    </row>
    <row r="16" spans="1:19" x14ac:dyDescent="0.3">
      <c r="A16" s="1">
        <v>11</v>
      </c>
      <c r="B16" s="5" t="s">
        <v>95</v>
      </c>
      <c r="C16" s="5" t="s">
        <v>94</v>
      </c>
      <c r="D16" s="5"/>
      <c r="E16" s="5"/>
      <c r="F16" s="5"/>
      <c r="G16" s="5"/>
      <c r="H16" s="12"/>
      <c r="I16" s="5"/>
      <c r="J16" s="12">
        <v>404.64</v>
      </c>
      <c r="K16" s="10">
        <v>1011.6</v>
      </c>
      <c r="L16" s="12">
        <v>1011.6</v>
      </c>
      <c r="M16" s="12">
        <v>809.28</v>
      </c>
      <c r="N16" s="12">
        <v>606.96</v>
      </c>
      <c r="O16" s="5"/>
      <c r="P16" s="5"/>
      <c r="Q16" s="5"/>
      <c r="R16" s="5"/>
      <c r="S16" s="5"/>
    </row>
    <row r="17" spans="1:19" x14ac:dyDescent="0.3">
      <c r="A17" s="1">
        <v>12</v>
      </c>
      <c r="B17" s="38" t="s">
        <v>31</v>
      </c>
      <c r="C17" s="38" t="s">
        <v>101</v>
      </c>
      <c r="D17" s="5"/>
      <c r="E17" s="5"/>
      <c r="F17" s="5"/>
      <c r="G17" s="5"/>
      <c r="H17" s="5"/>
      <c r="I17" s="5"/>
      <c r="J17" s="12"/>
      <c r="K17" s="5"/>
      <c r="L17" s="12"/>
      <c r="M17" s="12"/>
      <c r="N17" s="12">
        <v>606.96</v>
      </c>
      <c r="O17" s="5"/>
      <c r="P17" s="5"/>
      <c r="Q17" s="5"/>
      <c r="R17" s="5"/>
      <c r="S17" s="5"/>
    </row>
    <row r="18" spans="1:19" x14ac:dyDescent="0.3">
      <c r="A18" s="1">
        <v>13</v>
      </c>
      <c r="B18" s="5" t="s">
        <v>104</v>
      </c>
      <c r="C18" s="5" t="s">
        <v>103</v>
      </c>
      <c r="D18" s="5"/>
      <c r="E18" s="5"/>
      <c r="F18" s="5"/>
      <c r="G18" s="5"/>
      <c r="H18" s="5"/>
      <c r="I18" s="5"/>
      <c r="J18" s="12"/>
      <c r="K18" s="5"/>
      <c r="L18" s="12"/>
      <c r="M18" s="12"/>
      <c r="N18" s="12">
        <v>373.44</v>
      </c>
      <c r="O18" s="5"/>
      <c r="P18" s="5"/>
      <c r="Q18" s="5"/>
      <c r="R18" s="5"/>
      <c r="S18" s="5"/>
    </row>
    <row r="19" spans="1:19" x14ac:dyDescent="0.3">
      <c r="A19" s="5"/>
      <c r="B19" s="5"/>
      <c r="C19" s="5"/>
      <c r="D19" s="5"/>
      <c r="E19" s="5"/>
      <c r="F19" s="5"/>
      <c r="G19" s="5"/>
      <c r="H19" s="5"/>
      <c r="I19" s="5"/>
      <c r="J19" s="12"/>
      <c r="K19" s="5"/>
      <c r="L19" s="5"/>
      <c r="M19" s="5"/>
      <c r="N19" s="5"/>
      <c r="O19" s="5"/>
      <c r="P19" s="5"/>
      <c r="Q19" s="5"/>
      <c r="R19" s="5"/>
      <c r="S19" s="5"/>
    </row>
    <row r="20" spans="1:19" x14ac:dyDescent="0.3">
      <c r="A20" s="5"/>
      <c r="B20" s="5"/>
      <c r="C20" s="5"/>
      <c r="D20" s="5"/>
      <c r="E20" s="5"/>
      <c r="F20" s="5"/>
      <c r="G20" s="5"/>
      <c r="H20" s="5"/>
      <c r="I20" s="5"/>
      <c r="J20" s="12"/>
      <c r="K20" s="5"/>
      <c r="L20" s="5"/>
      <c r="M20" s="5"/>
      <c r="N20" s="5"/>
      <c r="O20" s="5"/>
      <c r="P20" s="5"/>
      <c r="Q20" s="5"/>
      <c r="R20" s="5"/>
      <c r="S20" s="5"/>
    </row>
    <row r="21" spans="1:19" x14ac:dyDescent="0.3">
      <c r="A21" s="5"/>
      <c r="B21" s="5"/>
      <c r="C21" s="5"/>
      <c r="D21" s="5"/>
      <c r="E21" s="5"/>
      <c r="F21" s="5"/>
      <c r="G21" s="5"/>
      <c r="H21" s="5"/>
      <c r="I21" s="5"/>
      <c r="J21" s="12"/>
      <c r="K21" s="5"/>
      <c r="L21" s="5"/>
      <c r="M21" s="5"/>
      <c r="N21" s="5"/>
      <c r="O21" s="5"/>
      <c r="P21" s="5"/>
      <c r="Q21" s="5"/>
      <c r="R21" s="5"/>
      <c r="S21" s="5"/>
    </row>
    <row r="22" spans="1:19" x14ac:dyDescent="0.3">
      <c r="A22" s="5"/>
      <c r="B22" s="5"/>
      <c r="C22" s="5"/>
      <c r="D22" s="5"/>
      <c r="E22" s="5"/>
      <c r="F22" s="5"/>
      <c r="G22" s="5"/>
      <c r="H22" s="5"/>
      <c r="I22" s="5"/>
      <c r="J22" s="12"/>
      <c r="K22" s="5"/>
      <c r="L22" s="5"/>
      <c r="M22" s="5"/>
      <c r="N22" s="5"/>
      <c r="O22" s="5"/>
      <c r="P22" s="5"/>
      <c r="Q22" s="5"/>
      <c r="R22" s="5"/>
      <c r="S22" s="5"/>
    </row>
    <row r="23" spans="1:19" x14ac:dyDescent="0.3">
      <c r="A23" s="5"/>
      <c r="B23" s="5"/>
      <c r="C23" s="5"/>
      <c r="D23" s="5"/>
      <c r="E23" s="5"/>
      <c r="F23" s="5"/>
      <c r="G23" s="5"/>
      <c r="H23" s="5"/>
      <c r="I23" s="5"/>
      <c r="J23" s="12"/>
      <c r="K23" s="5"/>
      <c r="L23" s="5"/>
      <c r="M23" s="5"/>
      <c r="N23" s="5"/>
      <c r="O23" s="5"/>
      <c r="P23" s="5"/>
      <c r="Q23" s="5"/>
      <c r="R23" s="5"/>
      <c r="S23" s="5"/>
    </row>
    <row r="24" spans="1:19" x14ac:dyDescent="0.3">
      <c r="A24" s="5"/>
      <c r="B24" s="5"/>
      <c r="C24" s="5"/>
      <c r="D24" s="5"/>
      <c r="E24" s="5"/>
      <c r="F24" s="5"/>
      <c r="G24" s="5"/>
      <c r="H24" s="5"/>
      <c r="I24" s="5"/>
      <c r="J24" s="12"/>
      <c r="K24" s="5"/>
      <c r="L24" s="5"/>
      <c r="M24" s="5"/>
      <c r="N24" s="5"/>
      <c r="O24" s="5"/>
      <c r="P24" s="5"/>
      <c r="Q24" s="5"/>
      <c r="R24" s="5"/>
      <c r="S24" s="5"/>
    </row>
    <row r="25" spans="1:19" x14ac:dyDescent="0.3">
      <c r="A25" s="5"/>
      <c r="B25" s="5"/>
      <c r="C25" s="5"/>
      <c r="D25" s="5"/>
      <c r="E25" s="5"/>
      <c r="F25" s="5"/>
      <c r="G25" s="5"/>
      <c r="H25" s="5"/>
      <c r="I25" s="5"/>
      <c r="J25" s="12"/>
      <c r="K25" s="5"/>
      <c r="L25" s="5"/>
      <c r="M25" s="5"/>
      <c r="N25" s="5"/>
      <c r="O25" s="5"/>
      <c r="P25" s="5"/>
      <c r="Q25" s="5"/>
      <c r="R25" s="5"/>
      <c r="S25" s="5"/>
    </row>
    <row r="26" spans="1:19" x14ac:dyDescent="0.3">
      <c r="A26" s="5"/>
      <c r="B26" s="5"/>
      <c r="C26" s="5"/>
      <c r="D26" s="5"/>
      <c r="E26" s="5"/>
      <c r="F26" s="5"/>
      <c r="G26" s="5"/>
      <c r="H26" s="12">
        <f t="shared" ref="H26:N26" si="0">SUM(H6:H25)</f>
        <v>9600.1200000000008</v>
      </c>
      <c r="I26" s="10">
        <f t="shared" si="0"/>
        <v>8987.08</v>
      </c>
      <c r="J26" s="12">
        <f t="shared" si="0"/>
        <v>8011.88</v>
      </c>
      <c r="K26" s="10">
        <f t="shared" si="0"/>
        <v>9482.1200000000008</v>
      </c>
      <c r="L26" s="10">
        <f t="shared" si="0"/>
        <v>7435.9599999999991</v>
      </c>
      <c r="M26" s="10">
        <f t="shared" si="0"/>
        <v>10108.680000000002</v>
      </c>
      <c r="N26" s="10">
        <f t="shared" si="0"/>
        <v>9717.24</v>
      </c>
      <c r="O26" s="5"/>
      <c r="P26" s="5"/>
      <c r="Q26" s="5"/>
      <c r="R26" s="5"/>
      <c r="S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 Habilitation</vt:lpstr>
      <vt:lpstr>CLIENT ADDRESS</vt:lpstr>
      <vt:lpstr>COMMUNITY-BAS</vt:lpstr>
      <vt:lpstr>COMPREHENSIVE</vt:lpstr>
      <vt:lpstr>RESPITE CARE</vt:lpstr>
      <vt:lpstr>Weekly Billing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Nalin patel</dc:creator>
  <cp:lastModifiedBy>Nalin patel</cp:lastModifiedBy>
  <cp:lastPrinted>2025-02-27T17:55:14Z</cp:lastPrinted>
  <dcterms:created xsi:type="dcterms:W3CDTF">2024-10-21T15:18:23Z</dcterms:created>
  <dcterms:modified xsi:type="dcterms:W3CDTF">2025-04-11T19:44:40Z</dcterms:modified>
</cp:coreProperties>
</file>